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j0IUIrAXx6txFoaVaGtfyIWN0BRGXUX7l3j2dh1DwwE="/>
    </ext>
  </extLst>
</workbook>
</file>

<file path=xl/sharedStrings.xml><?xml version="1.0" encoding="utf-8"?>
<sst xmlns="http://schemas.openxmlformats.org/spreadsheetml/2006/main" count="352" uniqueCount="243">
  <si>
    <t>xº</t>
  </si>
  <si>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</si>
  <si>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</si>
  <si>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</si>
  <si>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</si>
  <si>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</si>
  <si>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</si>
  <si>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</si>
  <si>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</si>
  <si>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</si>
  <si>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</si>
  <si>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</si>
  <si>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</si>
  <si>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</si>
  <si>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</si>
  <si>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</si>
  <si>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</si>
  <si>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Riesgo de información guardada filtrada por exposición de datos</t>
  </si>
  <si>
    <t>Un login para resguardar información</t>
  </si>
  <si>
    <t>Proteger el acceso a la información del sistema</t>
  </si>
  <si>
    <t>Criador</t>
  </si>
  <si>
    <t>1. El usuario ingresa a la plataforma y se presenta un login
2. El usuario coloca su nombre usuario y contraseña
3. Se compureban las credenciales
4. Da paso al sistema</t>
  </si>
  <si>
    <t>Gabriel López</t>
  </si>
  <si>
    <t>Alta</t>
  </si>
  <si>
    <t>En proceso</t>
  </si>
  <si>
    <t>Se validan la existencia de las credenciales en 
la base de datos;
Se validan campos vacios antes de la busqueda
Se validan posibles hackeos de seguridad</t>
  </si>
  <si>
    <t xml:space="preserve">En el ingreso de la contraseña, no mostrar lo que se coloca
Si los campos estan vacios, se muestra un bordeado rojo con mensaje de error, para credenciales erroneas se muestra un cuadro de texto con el mensaje de error "Usuario o contraseña incorrecto" </t>
  </si>
  <si>
    <t>Iniciar sesión en el sistema</t>
  </si>
  <si>
    <t>REQ02.1</t>
  </si>
  <si>
    <t>El sistema debe permitir registrar nuevas jaulas de manera ordenada y validada.</t>
  </si>
  <si>
    <t>Registrar datos de una nueva jaula.</t>
  </si>
  <si>
    <t>Mantener el control adecuado del criadero con información precisa y actualizada</t>
  </si>
  <si>
    <t>1. Acceder al módulo de registro de jaulas.
2. Ingresar número de jaula, tipo y capacidad.
3. El sistema valida la información ingresada.
4. Se guarda la jaula en la base de datos.</t>
  </si>
  <si>
    <t>Kevin Asmal</t>
  </si>
  <si>
    <t>El cuidador puede registrar una jaula verificando que su número sea entero positivo, no repetido, y que el tipo y la capacidad cumplan las reglas. Si algún dato no cumple, el sistema mostrará un mensaje de error.</t>
  </si>
  <si>
    <t>El sistema debe impedir duplicaciones, validar capacidad según tipo y asegurar que los campos estén completos antes de registrar.</t>
  </si>
  <si>
    <t>Registrar Datos de Jaula</t>
  </si>
  <si>
    <t>REQ02.2</t>
  </si>
  <si>
    <t>El sistema debe permitir consultar rápidamente la información de una jaula registrada</t>
  </si>
  <si>
    <t>Consultar datos de una jaula.</t>
  </si>
  <si>
    <t>Visualizar la información de una jaula específica según su número</t>
  </si>
  <si>
    <t>1. Acceder al formulario de consulta.
2. Ingresar el número de jaula.
3. El sistema valida el dato y muestra la información correspondiente.</t>
  </si>
  <si>
    <t>No iniciado</t>
  </si>
  <si>
    <t>El cuidador ingresa el número de jaula y verifica que el sistema muestre los datos correctos. El sistema emitirá mensajes de error si el número está vacío, es inválido o no existe.</t>
  </si>
  <si>
    <t>El sistema debe validar solo números enteros positivos y manejar fallos de consulta en la base de datos.</t>
  </si>
  <si>
    <t>Consultar Datos de Jaula</t>
  </si>
  <si>
    <t>REQ02.3</t>
  </si>
  <si>
    <t>El sistema debe permitir editar los datos de una jaula registrada</t>
  </si>
  <si>
    <t>Editar datos de una jaula.</t>
  </si>
  <si>
    <t>Actualizar la información existente de una jaula ya registrada</t>
  </si>
  <si>
    <t>1. Acceder al módulo de edición.
2. Seleccionar una jaula del listado.
3. Modificar tipo o capacidad.
4. El sistema valida los datos actualizados.
5. El sistema guarda los cambios en la base de datos.</t>
  </si>
  <si>
    <t>El cuidador puede modificar el tipo y la capacidad de la jaula y comprobar que el cambio aparece reflejado. Si los datos no cumplen las reglas, el sistema mostrará advertencias.</t>
  </si>
  <si>
    <t>El sistema debe asegurar que tipo sea válido, capacidad sea positiva y que se respeten los máximos permitidos según el tipo.</t>
  </si>
  <si>
    <t>Editar Datos de Jaula</t>
  </si>
  <si>
    <t>REQ02.4</t>
  </si>
  <si>
    <t>El sistema debe permitir eliminar una jaula que ya no se usa o está mal registrada</t>
  </si>
  <si>
    <t>Eliminar una jaula.</t>
  </si>
  <si>
    <t>Mantener la base de datos depurada y actualizada</t>
  </si>
  <si>
    <t>1. Acceder al módulo de eliminación.
2. Seleccionar una jaula.
3. Confirmar la eliminación.
4. El sistema elimina la jaula y notifica el resultado.</t>
  </si>
  <si>
    <t xml:space="preserve">Media </t>
  </si>
  <si>
    <t>El cuidador selecciona una jaula y, tras confirmar, verifica que se elimine correctamente. Si la jaula está asignada a conejos, el sistema impedirá la operación y mostrará un mensaje.</t>
  </si>
  <si>
    <t>Si la operación se cancela, el sistema regresa al listado sin cambios. Debe impedir eliminar jaulas con animales asignados.</t>
  </si>
  <si>
    <t>Eliminar Jaula</t>
  </si>
  <si>
    <t>REQ03.1</t>
  </si>
  <si>
    <t>El sistema debe permitir registrar nuevas razas de conejos</t>
  </si>
  <si>
    <t>Registrar una raza.</t>
  </si>
  <si>
    <t>Incluir nuevas razas en la base de datos para su uso en registros y reportes</t>
  </si>
  <si>
    <t>1. Acceder al módulo de razas.
2. Ingresar nombre y descripción.
3. El sistema valida los datos.
4. El sistema registra la raza y notifica el éxito.</t>
  </si>
  <si>
    <t>El cuidador registra una raza, verificando que el nombre no esté repetido y cumpla las reglas. Si algún campo está vacío o no cumple requisitos, el sistema mostrará un mensaje de error.</t>
  </si>
  <si>
    <t>El sistema debe permitir solo letras, descripción válida y un máximo de 150 caracteres; manejar duplicados.</t>
  </si>
  <si>
    <t>Registrar Raza</t>
  </si>
  <si>
    <t>REQ03.2</t>
  </si>
  <si>
    <t>El sistema debe permitir consultar una raza registrada</t>
  </si>
  <si>
    <t>Consultar una raza.</t>
  </si>
  <si>
    <t>Visualizar nombre y descripción de una raza específica</t>
  </si>
  <si>
    <t>1. Acceder a la pantalla de consulta.
2. Ingresar el nombre de la raza.
3. El sistema valida y muestra los datos correspondientes.</t>
  </si>
  <si>
    <t>El cuidador ingresa el nombre de una raza y verifica la información mostrada. Si la raza no existe o el nombre es inválido, el sistema mostrará mensajes claros.</t>
  </si>
  <si>
    <t>El sistema debe validar letras únicamente y no permitir campos vacíos. Manejar errores de base de datos.</t>
  </si>
  <si>
    <t>Consultar Raza</t>
  </si>
  <si>
    <t>REQ03.3</t>
  </si>
  <si>
    <t xml:space="preserve">Como Criador, quiero editar la raza de un conejo para corregir errores de registro o actualizar información.
</t>
  </si>
  <si>
    <t xml:space="preserve">
Permitir la modificación del valor 'Raza' asociado a un conejo previamente registrado.
</t>
  </si>
  <si>
    <t xml:space="preserve">Garantizar la exactitud de los datos históricos y mantener la integridad del inventario ante errores de tipificación o cambios en el ejemplar.
</t>
  </si>
  <si>
    <t xml:space="preserve">A través de la ficha de detalle del conejo, permitir la selección de un nuevo valor 'Raza' de una lista predefinida (dropdown) y su actualización inmediata tras confirmación.
</t>
  </si>
  <si>
    <t>Diego Delgado</t>
  </si>
  <si>
    <t xml:space="preserve">1. Acceder a un conejo, modificar su raza y guardar. Se debe validar que la nueva raza se muestre en la ficha de detalle y en los listados.
2. Intentar ingresar una raza con más de 150 caracteres. El sistema debe rechazar el ingreso y mostrar un mensaje de error de longitud.
</t>
  </si>
  <si>
    <t>Debe estar validado el ingreso unico de caracteres y no numeros o simbolos, contando con un limite de 150 caracteres</t>
  </si>
  <si>
    <t>Editar Raza</t>
  </si>
  <si>
    <t>REQ03.4</t>
  </si>
  <si>
    <t xml:space="preserve">Eliminar una raza del catálogo para mantener limpio y actualizado el listado disponible.
</t>
  </si>
  <si>
    <t xml:space="preserve">Permitir la eliminación definitiva de una raza del catálogo, siempre que no esté asociada a ningún conejo activo.
</t>
  </si>
  <si>
    <t xml:space="preserve">Depurar el catálogo de razas, evitando errores de selección futuros y simplificando la gestión de inventario a las razas relevantes.
</t>
  </si>
  <si>
    <t xml:space="preserve">En el módulo de gestión de razas, mostrar la opción de 'Eliminar' solo para aquellas razas que no tienen conejos asociados. Se debe requerir una confirmación del usuario antes de la eliminación final.
</t>
  </si>
  <si>
    <t xml:space="preserve">1. Intentar eliminar una raza que NO tiene conejos asociados. Se debe verificar que se elimina exitosamente y ya no aparece en el catálogo.
2. Intentar eliminar una raza que SÍ tiene conejos asociados. Se debe verificar que el sistema muestre un mensaje de error y no ejecute la eliminación.
</t>
  </si>
  <si>
    <t>Aquellas razas con conejos registrados no pueden ser eliiminadas, unicamente las que no tienen ningún conejo registrado.</t>
  </si>
  <si>
    <t>Eliminar raza</t>
  </si>
  <si>
    <t>REQ04.1</t>
  </si>
  <si>
    <t>Como Criador, quiero registrar la ficha completa de un nuevo conejo para llevar un control centralizado del inventario.</t>
  </si>
  <si>
    <t>Permitir la captura de todos los datos básicos (ID, Raza, Sexo, F. Nacimiento) y sanitarios iniciales de un nuevo ejemplar.</t>
  </si>
  <si>
    <t>Para mantener un inventario digitalizado que permita la trazabilidad, gestión eficiente y toma de decisiones sobre cada ejemplar.</t>
  </si>
  <si>
    <t>Mediante un formulario que valida la obligatoriedad y el formato único del campo ID. La interfaz debe estructurarse en secciones lógicas (e.g., Datos Generales, Ubicación).</t>
  </si>
  <si>
    <t>1. Ingresar todos los datos obligatorios y guardar. Se debe validar el mensaje de éxito y la persistencia de los datos en la vista de detalle.
2. Intentar guardar sin ingresar el ID. Se debe verificar que el sistema muestre la alerta de campo obligatorio y bloquee el registro.
3. Intentar registrar un ID ya existente. El sistema debe mostrar un error de duplicidad.</t>
  </si>
  <si>
    <t xml:space="preserve">El campo Raza utiliza una lista predefinida de valores. Restricción: El ID debe ser único a nivel de todo el criadero.
</t>
  </si>
  <si>
    <t>Registrar datos de conejo</t>
  </si>
  <si>
    <t>REQ04.2</t>
  </si>
  <si>
    <t>Inconvenientes respecto a la crianza de un conejo y no contar con la informacion especifica del mismo</t>
  </si>
  <si>
    <t xml:space="preserve">Permitir la búsqueda de un conejo por su ID y desplegar su ficha completa con datos generales, sanitarios y de ubicación.
</t>
  </si>
  <si>
    <t xml:space="preserve">Monitorear el historial médico y de reproducción del ejemplar, permitiendo una rápida identificación y acción ante problemas de salud.
</t>
  </si>
  <si>
    <t xml:space="preserve">A través de un campo de búsqueda de texto predictivo (autocompletado) en el panel principal que acepta el ID del conejo, el sistema debe redirigir inmediatamente a la ficha de detalle al seleccionarlo.
</t>
  </si>
  <si>
    <t xml:space="preserve">1. Buscar un ID de conejo existente. Se debe verificar que se muestra la ficha completa con todos los datos correctos.
2. Buscar un ID de conejo inexistente. Se debe verificar que el sistema muestre un mensaje de error claro ("Conejo no encontrado").
3. Verificar que los datos mostrados en la ficha coincidan con el formato obligatorio del código (Letra + 3 dígitos).
</t>
  </si>
  <si>
    <t xml:space="preserve">El campo de búsqueda debe validar el formato del código obligatorio ([Letra Raza] + [3 dígitos]). Usabilidad: Incluir ayuda visual/textual que indique el formato del código requerido.
</t>
  </si>
  <si>
    <t>Consultar datos de conejo</t>
  </si>
  <si>
    <t>REQ04.3</t>
  </si>
  <si>
    <t xml:space="preserve">Como Criador, quiero filtrar el listado de conejos por raza para gestionar inventario y realizar conteos específicos.
</t>
  </si>
  <si>
    <t xml:space="preserve">Permitir al usuario seleccionar una raza específica para que el sistema muestre únicamente los conejos asociados a ella.
</t>
  </si>
  <si>
    <t xml:space="preserve">Facilitar el control de inventario, la planificación de cruces y la evaluación del estado de salud agrupado por raza.
</t>
  </si>
  <si>
    <t xml:space="preserve">Implementar un filtro seleccionable (dropdown) en la vista principal de conejos que liste las razas activas. Al seleccionar una, la tabla de resultados debe actualizarse inmediatamente.
</t>
  </si>
  <si>
    <t xml:space="preserve">1. Acceder a la lista, verificar que el filtro lista TODAS las razas activas.
2. Seleccionar una raza (ej. "Nueva Zelanda"). Se debe verificar que el listado solo muestre conejos de esa raza.
3. Verificar que al deseleccionar el filtro, el listado vuelve a mostrar todos los conejos.
</t>
  </si>
  <si>
    <t xml:space="preserve">El filtro solo debe mostrar razas que actualmente tengan conejos activos registrados de seleccion simple (una raza a la vez).
</t>
  </si>
  <si>
    <t>Filtrar por razas de conejo</t>
  </si>
  <si>
    <t>REQ04.4</t>
  </si>
  <si>
    <t>El sistema debe permitir actualizar o modificar la información de los conejos</t>
  </si>
  <si>
    <t>Modificar información del conejo sobre: sexo, edad, peso y propósito</t>
  </si>
  <si>
    <t>Permite registrar los cambios en el conejo a lo largo del tiempo, como peso y tamaño, o para realizar correcciones de propósito o sexo.</t>
  </si>
  <si>
    <t>1. El usuario accede al listado de conejos
2. Elige los datos a actualizar
3. Ingresa los nuevos datos
4. El sistema valida los datos de los datos
5. El sistema guarda los datos o emite un mensaje de error</t>
  </si>
  <si>
    <t>Marcelo Pareja</t>
  </si>
  <si>
    <t>Una vez ingresado al sistema, se podrá acceder a la información de cualquier conejo del listado, modificarla y verificar que los datos se han actualizado correctamente. En caso de modificar información de manera incorrecta, el sistema deberá emitir un mensaje de error.</t>
  </si>
  <si>
    <t xml:space="preserve">No se pueden editar la raza ni el código.
La edad se mide en meses y es un entero positivo mayor a 18
El peso se mide en kg y es un número real entre 2 y 4.5
El sexo puede ser macho o hembra, y el prpósito solo puee ser reproducción o engorde
No se pueden dejar campos vacíos, y se debe dar una ayuda visual para interpretar el código del conejo
</t>
  </si>
  <si>
    <t>Editar datos de conejos</t>
  </si>
  <si>
    <t>REQ04.5</t>
  </si>
  <si>
    <t>El sistema debe permitir elimnar un conejo, y quitar su información de la base de datos</t>
  </si>
  <si>
    <t>Eliminar un conejo del registro</t>
  </si>
  <si>
    <t>Permite reflejar acontecimientos como la muerte o venta de un conejo.</t>
  </si>
  <si>
    <t>1. Acceder al listado de conejos
2. Escoger elegir el conejo a eliminar
3. Confirmar la eliminación
4. Ejecución del borrado</t>
  </si>
  <si>
    <t>Dentro del sistema se puede escoger un conejo y eliminarlo. Tras realizar la eliminación, al recargar la lista de conejos y buscar el código del conejo eliminado, se puede observar que ya no se encuentra.</t>
  </si>
  <si>
    <t>-Solo puede eliminarse un conejo si no está asignado actualmente a una jaula.
El mensaje de confirmación debe incluir una advertencia sobre la irreversibilidad del proceso.</t>
  </si>
  <si>
    <t>Eliminar conejo del registro</t>
  </si>
  <si>
    <t>REQ05.1</t>
  </si>
  <si>
    <t>El sistema debe permitir asignar uno o varios conejos a una jaula existente</t>
  </si>
  <si>
    <t>Asignar un conejo a una jaula</t>
  </si>
  <si>
    <t>Para reflejar la clasificación y agrupación por jaulas que usa el cuidador, permitiendo organizar los conejos con el sistema también</t>
  </si>
  <si>
    <t>1. Acceder al listado de jaulas y conejos
2. Escoger una jaula con capacidad
3. Escoger uno o varios conejos
4. Confirmar la asignación
5. Guardado de la asignación</t>
  </si>
  <si>
    <t>Dentro del sistema, el cuidador puede escoger una jaula, asignarle uno o varios conejos y comprobar que la asignación se refleja en la lista de conejos y jaulas. Si se intenta asignar conejos a una jaula llena o con poca capacidad, el sistema emitirá un mensaje de error.</t>
  </si>
  <si>
    <t>El sistema debe garantizar que no se exceda la capacidad de la jaula al momento de la asignación.
Solo se permite asignar conejos que aún no hayan sido asignados a ninguna jaula.
El sistema debe permitir quitar la asignación si el actor así lo decide. Para ello, el actor podrá seleccionar un conejo previamente asignado, el sistema pedirá confirmación, y una vez aceptada, actualizará la base de datos y el listado.</t>
  </si>
  <si>
    <t>Asignar conejos a una jaula</t>
  </si>
  <si>
    <t>REQ05.2</t>
  </si>
  <si>
    <t>El sistema debe permitir al criador quitar un conejo de su jaula asignada</t>
  </si>
  <si>
    <t>Eliminar asignación de un conejo a una jaula</t>
  </si>
  <si>
    <t>Reflejar la salida de un conejo de una jaula por temas de apareamiento o alimentación, vacunación o desparasitación.</t>
  </si>
  <si>
    <t>1. Acceder al listado de jaulas y conejos
2. Escoger a un conejo ya asignado
3. Confirmar la eliminación de la asignación
4. Actualización de la base de datos</t>
  </si>
  <si>
    <t>El cuidador puede seleccionar un conejo que tenga asignada una jaula, quitar la asignación, y verificar que la lista de conejos y jaulas se actualizó y refleja el cambio. El sistema emitirá un mensaje de error si intenta quitar la asignación a un conejo sin jaula.</t>
  </si>
  <si>
    <t>Si se cancela la operación, el sistema regresa a la lista de conejos y jaulas</t>
  </si>
  <si>
    <t>Quitar conejos de una jaula</t>
  </si>
  <si>
    <t>REQ06.1</t>
  </si>
  <si>
    <t>El sistema debe permitir al criador asignar una dieta a cada conejo</t>
  </si>
  <si>
    <t>Controlar la alimentación recomendada para cada uno  de los conejos</t>
  </si>
  <si>
    <t>Elaborar una dieta para cada conejo en base a sus necesidades alimenticias, determinadas por su peso</t>
  </si>
  <si>
    <t>1. Acceder al listado de alimentación de conejos
2- Elegir un conejo o conejos para aplicar la dieta
3. Usar la dieta recomendada o valores personalizados, si es necesario, justificar
4. El sistema calcula la dieta
5. El sistema guarda la dieta de los conejos</t>
  </si>
  <si>
    <t>El cuidador podrá escoger a uno o varios conejos y crear una dieta para ellos, y tras guardar la nueva dieta podrá ver reflejado el cambio en la información de los conejos. Si la dieta no cumple los requerimientos alimenticios del conejo, el sistema emitirá un mensaje de error.</t>
  </si>
  <si>
    <t xml:space="preserve">Añadir una opción para "Seleccionar todos" los conejos, agilizando la selección.
Incluir mensaje informativo de que el actor puede editar la dieta si lo requiere para ajustar cantidades.
</t>
  </si>
  <si>
    <t>Asignar dieta de los conejos</t>
  </si>
  <si>
    <t>REQ06.2</t>
  </si>
  <si>
    <t>El sistema debe permitir al actor editar la dieta de uno o varios conejos</t>
  </si>
  <si>
    <t>Modificar las dietas asignadas a los conejos</t>
  </si>
  <si>
    <t>Adaptar las dietas a los cambios en edad y peso de los conejos, a la temporada, y en caso de ocurrir, a un cambio de propósito de los conejos</t>
  </si>
  <si>
    <t>1. Elegir un conejo para modificar su dieta
2. Cambiar los valores
3. El sistema valida los valores ingresados
4. El sistema actualiza la dieta del conejo</t>
  </si>
  <si>
    <t>Si se realiza el proceso correctamente, se obtiene una confirmación del sistema y se puede ver la alimentación reflejada en la información de los conejos.
El sistema emitirá un mensaje de error si la conexión a la base de datos falla, o una alerta si los valores ingresados no son enteros positivos</t>
  </si>
  <si>
    <t>Modificar dieta de los conejos</t>
  </si>
  <si>
    <t>REQ07.1</t>
  </si>
  <si>
    <t>El sistema debe permitir a usuario asignar y ver los controles de vacunación realizados a los conejos.</t>
  </si>
  <si>
    <t>Llevar un registro de las vacunas aplicadas a los conejos a lo largo del tiempo.</t>
  </si>
  <si>
    <t>Controlar la vacunación y saber cuando se debe realizar un nuevo control, y qué tipo de control es en base a los controles anteriores.</t>
  </si>
  <si>
    <t>1. Acceder al listado de vacunación de los conejos
2. Escoger las vacunas a aplicar
3. Escoger uno o varios conejos para aplicar las vacunas.
4. Validar las vacunas aplicadas
5. El sistema registra la vacunación</t>
  </si>
  <si>
    <t>El cuidador podrá acceder a la sección de cuidado de los conejos para revisar los controles de vacunación, y si es necesario asignar uno nuevo. El control nuevo se verá reflejado en los datos del conejo. El sistema no permitirá registrar un nuevo control si no ha pasado un plazo de al menos dos meses desde el último.</t>
  </si>
  <si>
    <t xml:space="preserve">Un conejo solo puede tener asignado un máximo de dos vacunas.
Las vacunas manejadas son: mixomatosis o hemorrágica vírica (VHD) </t>
  </si>
  <si>
    <t>Controlar vacunación de los conejos</t>
  </si>
  <si>
    <t>REQ07.2</t>
  </si>
  <si>
    <t>El sistema debe permitir al usuario registrar y ver la lista decontroles de desparasitación realizados a los conejos</t>
  </si>
  <si>
    <t>Tener un registro de los controles de desparasitación realizados a cada conejo a lo largo del tiempo</t>
  </si>
  <si>
    <t>Llevar un control de los procesos de desparasitación y saber cuándo se debe aplicar el siguiente</t>
  </si>
  <si>
    <t>1. Acceder al listado de desparasitación
2, Elegir conejos para registrar el control
3. Validar el control de desparasitación
4.El sistema registra el nuevo control y su fecha</t>
  </si>
  <si>
    <t>El cuidador podrá acceder a la sección de cuidado de los conejos para revisar los controles de desparasitación, y si es necesario asignar uno nuevo. El control nuevo se verá reflejado en los datos del conejo. El sistema no permitirá registrar un nuevo control si no ha transcurrido un plazo de al menos un mes desde el último.</t>
  </si>
  <si>
    <t>El plazo establecido entre controles de desparasitación,es como mínimo un mes</t>
  </si>
  <si>
    <t>Controlar la desparasitacón de los conejos</t>
  </si>
  <si>
    <t>REQ07.3</t>
  </si>
  <si>
    <t xml:space="preserve">El sistema debe permitir al usuario registrar los incrementos de peso de los conejos </t>
  </si>
  <si>
    <t>Monitorear el crecimiento de los conejos y asignar los incrementos de peso respectivos</t>
  </si>
  <si>
    <t>Controlar y modificar si es necesario el propósito,alimentación, y tratamientos de los conejos en base a los cambios en su peso</t>
  </si>
  <si>
    <t>1. Acceder a la sección de crecimiento
2. El sistema actualiza automáticamente la edad de los conejos
3. El usuario seleciona conejos para modificar su peso
4. El sistema valida el incremento
5. Se aplica el incremento a los conejos seleccionados</t>
  </si>
  <si>
    <t>El usuario podrá ingresar a la lista de conejos, seleccionar uno o varios y aplicar un incremento a su peso. El sistema validará que el incremento sea adecuado, caso contrario emitirá un mensaje de error. Si el incremento es válido, se actualizará y se reflejará en la información del conejo</t>
  </si>
  <si>
    <t xml:space="preserve">
La actualización de edad si al realizar el cálculo no hay cambios en el conejo debe especificar con un mensaje que no es necesario actualizar la edad y el conejo al cual no es necesario actualizar
Se debe ofrecer la opción para seleccionar a todos para agilizar procesos masivos.
El sistema debe garantizar que ningún conejo supere los 4.5 kg si supera se notificará con alertas específicas podrá tener un peso máximo de 5kg.
El sistema debe permitir reducir el peso del conejo hasta un máximo de 2kg
</t>
  </si>
  <si>
    <t>Controlar crecimiento  de los conejos</t>
  </si>
  <si>
    <t>REQ08.1</t>
  </si>
  <si>
    <t>La dificil gestión de los procesos de monta y registro de conejos para el proceso</t>
  </si>
  <si>
    <t>Registrar los datos de la monta como: Jaula, datos del conejo  y su raza</t>
  </si>
  <si>
    <t>Organizar la información para registrar correctamente las montas de los conejos</t>
  </si>
  <si>
    <t>1.Seleccionar a la coneja que cumpla con las condiciones(ser mayor a 4 meses, no preñada )
2. Registrar datos de la monta (jaula, codigo de la coneja, fecha de la monta y fecha estimada de parto)
3. Registrar la monta en la base de datos y presentar la información Visualmente</t>
  </si>
  <si>
    <t xml:space="preserve">Se comprueba que no existan campos vacios para la carga de información
Los campos de jaula, codigo de conejo y fecha de parto son selecciones buscadas en la base datos
Se verifica que la fecha de monta sea desde la fecha actual en adelante 
Se verifica que la coneja no este en otro proceso de monta </t>
  </si>
  <si>
    <t>- El calculo de parto es un estimado de la fecha de monta más 30 dias
- Se recomienda eliminar visualmente los registro de monta 3 días despues de la monta para evitar confusiones en la información mostrada
- Eliminar visualmente conejas que ya estan registradas en un proceso de monta</t>
  </si>
  <si>
    <t>Registrar datos de monta</t>
  </si>
  <si>
    <t>REQ08.2</t>
  </si>
  <si>
    <t>El desestimar montas para registrar otros procesos de monta  al encontrar una coneja no embarazada</t>
  </si>
  <si>
    <t>Eliminar datos erroneos de la base de datos sobre las montas</t>
  </si>
  <si>
    <t>Tener un mejor control sobre los procesos de monta y  poder iniciar nuevos procesos si una coneja esta no embarazada</t>
  </si>
  <si>
    <t>1.Seleccionar a la coneja que estaba en el modulo de monta no embarazada
2. Elegir la opción de eliminar monta
3. Pedir una confirmación del usuario
4. Eliminar la información correspondiente de la base de datos</t>
  </si>
  <si>
    <t xml:space="preserve">Solo se puede eliminar montas que no concluyen aun
</t>
  </si>
  <si>
    <t>Si no existe un procesos de monta el boton de eliminar no aparecera.
La eliminación de monta sera lógico</t>
  </si>
  <si>
    <t>Eliminar parto</t>
  </si>
  <si>
    <t>REQ09.1</t>
  </si>
  <si>
    <t>Conocer el tipo de alimentación para las razas de conejo es complejo y la cantidad que se provee no es medible en su totalidad</t>
  </si>
  <si>
    <t>Conocer y gestionar la alimentación que tienen los conejos</t>
  </si>
  <si>
    <t>Permitir conocer la cantidad de alimento dado para mejorar el control de alimentación de los animales</t>
  </si>
  <si>
    <t>1. El usuario entra al modulo de reportes
2. El usuario filtrara la información relevante con las opciones dadas entre fechas y razas de los conejos
3. Generar el reporte y visualizarlo.
4. Descargarlo en formato PDF.</t>
  </si>
  <si>
    <t xml:space="preserve">Se comprueba que existan datos en la base de datos
</t>
  </si>
  <si>
    <t>Si la fecha final es menor que la inicial o no se selecciona ninguna raza, se muestra un mensaje de error. Si no hay datos, se notifica “No se encontraron resultados”. Si todo es correcto, el sistema genera el PDF con la información solicitada.</t>
  </si>
  <si>
    <t>Generar Reporte de Alimentación</t>
  </si>
  <si>
    <t>REQ09.2</t>
  </si>
  <si>
    <t>Es dificil controlar que conejos tienen sus vacunas y que conejos falta de vacunar ademas de saber que vacunas tienen</t>
  </si>
  <si>
    <t>Conocer y gestinar procesos de vacuna que tiene cada conejo registrado</t>
  </si>
  <si>
    <t>Poder tener un mayor control de las vacunas, reconocer con facilidad conejos ya vacunado o por vacunar</t>
  </si>
  <si>
    <t xml:space="preserve">
1. Acceder al módulo de reportes.
2. Seleccionar “Reporte de Desparasitación”.
3. Elegir filtros de fecha y raza.
4. Generar el reporte y visualizarlo.
5. Descargarlo en formato PDF.</t>
  </si>
  <si>
    <t>Generar reporte de vacunación</t>
  </si>
  <si>
    <t>REQ010.3</t>
  </si>
  <si>
    <t>El sistema no permite generar reportes de desparasitación con filtros personalizados</t>
  </si>
  <si>
    <t>Permitir generar reportes filtrados por fecha de inicio, fecha de fin y raza registrada</t>
  </si>
  <si>
    <t>Para obtener reportes detallados y actualizados sobre las desparasitaciones realizadas en el criadero</t>
  </si>
  <si>
    <t>Generar reporte de desparasitación</t>
  </si>
  <si>
    <t>Baja</t>
  </si>
  <si>
    <t>Terminado</t>
  </si>
  <si>
    <t>Atrasado</t>
  </si>
  <si>
    <t>HISTORIA DE USUARIO (HU)</t>
  </si>
  <si>
    <t>USUARIO</t>
  </si>
  <si>
    <t>TIEMPO</t>
  </si>
  <si>
    <t>PROG. RESP</t>
  </si>
  <si>
    <t>QUE</t>
  </si>
  <si>
    <t>PARA QUE</t>
  </si>
  <si>
    <t>COMO</t>
  </si>
  <si>
    <t xml:space="preserve">"1. Acceder a la pantalla de consulta.
2. Ingresar el nombre de la raza.
3. El sistema valida y muestra los datos correspondientes."
</t>
  </si>
  <si>
    <t>NOMBRE HISTORIA</t>
  </si>
  <si>
    <t>PRUEBA</t>
  </si>
  <si>
    <t>El cuidador ingresa el nombre y verifica que la raza mostrada sea correcta. Si no existe o es inválida, el sistema mostrará errores.</t>
  </si>
  <si>
    <t>Validar solo letras, no permitir campos vacíos y manejar errores de base de datos.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</si>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</sst>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u/>
      <sz val="11.0"/>
      <color rgb="FF000000"/>
      <name val="Arial Narrow"/>
    </font>
    <font>
      <b/>
      <i/>
      <sz val="16.0"/>
      <color theme="1"/>
      <name val="Arial Narrow"/>
    </font>
    <font/>
    <font>
      <b/>
      <i/>
      <sz val="11.0"/>
      <color rgb="FF9C6500"/>
      <name val="Arial Narrow"/>
    </font>
    <font>
      <sz val="10.0"/>
      <color theme="1"/>
      <name val="Arial Narrow"/>
    </font>
    <font>
      <sz val="10.0"/>
      <color rgb="FF000000"/>
      <name val="Arial Narrow"/>
    </font>
    <font>
      <color theme="1"/>
      <name val="Arial"/>
      <scheme val="minor"/>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4" fillId="2" fontId="5" numFmtId="0" xfId="0" applyAlignment="1" applyBorder="1" applyFill="1" applyFont="1">
      <alignment horizontal="center" shrinkToFit="0" vertical="center" wrapText="1"/>
    </xf>
    <xf borderId="4" fillId="3"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164" xfId="0" applyAlignment="1" applyBorder="1" applyFont="1" applyNumberFormat="1">
      <alignment horizontal="center" readingOrder="0" shrinkToFit="0" vertical="center" wrapText="1"/>
    </xf>
    <xf borderId="4" fillId="0" fontId="6"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0" fontId="6" numFmtId="0" xfId="0" applyAlignment="1" applyBorder="1" applyFont="1">
      <alignment horizontal="center" shrinkToFit="0" vertical="center" wrapText="1"/>
    </xf>
    <xf borderId="4" fillId="4"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1" numFmtId="0" xfId="0" applyAlignment="1" applyBorder="1" applyFont="1">
      <alignment readingOrder="0" shrinkToFit="0" wrapText="1"/>
    </xf>
    <xf borderId="4"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4" fillId="0" fontId="1" numFmtId="0" xfId="0" applyAlignment="1" applyBorder="1" applyFont="1">
      <alignment readingOrder="0"/>
    </xf>
    <xf borderId="4" fillId="0" fontId="6" numFmtId="0" xfId="0" applyAlignment="1" applyBorder="1" applyFont="1">
      <alignment readingOrder="0" shrinkToFit="0" wrapText="1"/>
    </xf>
    <xf borderId="4" fillId="4" fontId="7" numFmtId="0" xfId="0" applyAlignment="1" applyBorder="1" applyFont="1">
      <alignment horizontal="left" readingOrder="0" shrinkToFit="0" vertical="center" wrapText="1"/>
    </xf>
    <xf borderId="0" fillId="0" fontId="8" numFmtId="0" xfId="0" applyAlignment="1" applyFont="1">
      <alignment shrinkToFit="0" vertical="top" wrapText="1"/>
    </xf>
    <xf borderId="0" fillId="0" fontId="9" numFmtId="0" xfId="0" applyAlignment="1" applyFont="1">
      <alignment horizontal="left" shrinkToFit="0" vertical="top" wrapText="1"/>
    </xf>
    <xf borderId="0" fillId="0" fontId="10" numFmtId="0" xfId="0" applyAlignment="1" applyFont="1">
      <alignment shrinkToFit="0" vertical="top" wrapText="1"/>
    </xf>
    <xf borderId="1" fillId="5" fontId="11" numFmtId="0" xfId="0" applyAlignment="1" applyBorder="1" applyFill="1" applyFont="1">
      <alignment horizontal="center" shrinkToFit="0" vertical="top" wrapText="1"/>
    </xf>
    <xf borderId="0" fillId="0" fontId="12" numFmtId="0" xfId="0" applyAlignment="1" applyFont="1">
      <alignment shrinkToFit="0" vertical="top" wrapText="1"/>
    </xf>
    <xf borderId="0" fillId="0" fontId="9" numFmtId="0" xfId="0" applyAlignment="1" applyFont="1">
      <alignment horizontal="center" shrinkToFit="0" vertical="top" wrapText="1"/>
    </xf>
    <xf borderId="5" fillId="5" fontId="12" numFmtId="0" xfId="0" applyAlignment="1" applyBorder="1" applyFont="1">
      <alignment shrinkToFit="0" vertical="top" wrapText="1"/>
    </xf>
    <xf borderId="6" fillId="5" fontId="9" numFmtId="0" xfId="0" applyAlignment="1" applyBorder="1" applyFont="1">
      <alignment horizontal="left" shrinkToFit="0" vertical="top" wrapText="1"/>
    </xf>
    <xf borderId="6" fillId="5" fontId="10" numFmtId="0" xfId="0" applyAlignment="1" applyBorder="1" applyFont="1">
      <alignment shrinkToFit="0" vertical="top" wrapText="1"/>
    </xf>
    <xf borderId="6" fillId="5" fontId="12" numFmtId="0" xfId="0" applyAlignment="1" applyBorder="1" applyFont="1">
      <alignment shrinkToFit="0" vertical="top" wrapText="1"/>
    </xf>
    <xf borderId="7" fillId="5" fontId="12" numFmtId="0" xfId="0" applyAlignment="1" applyBorder="1" applyFont="1">
      <alignment shrinkToFit="0" vertical="top" wrapText="1"/>
    </xf>
    <xf borderId="8" fillId="5" fontId="12" numFmtId="0" xfId="0" applyAlignment="1" applyBorder="1" applyFont="1">
      <alignment shrinkToFit="0" vertical="top" wrapText="1"/>
    </xf>
    <xf borderId="4" fillId="6" fontId="13" numFmtId="0" xfId="0" applyAlignment="1" applyBorder="1" applyFill="1" applyFont="1">
      <alignment horizontal="center" shrinkToFit="0" vertical="top" wrapText="1"/>
    </xf>
    <xf borderId="9" fillId="5" fontId="14" numFmtId="0" xfId="0" applyAlignment="1" applyBorder="1" applyFont="1">
      <alignment shrinkToFit="0" vertical="top" wrapText="1"/>
    </xf>
    <xf borderId="1" fillId="6" fontId="13" numFmtId="0" xfId="0" applyAlignment="1" applyBorder="1" applyFont="1">
      <alignment horizontal="center" shrinkToFit="0" vertical="top" wrapText="1"/>
    </xf>
    <xf borderId="9" fillId="5" fontId="12" numFmtId="0" xfId="0" applyAlignment="1" applyBorder="1" applyFont="1">
      <alignment shrinkToFit="0" vertical="top" wrapText="1"/>
    </xf>
    <xf borderId="10" fillId="5" fontId="12" numFmtId="0" xfId="0" applyAlignment="1" applyBorder="1" applyFont="1">
      <alignment shrinkToFit="0" vertical="top" wrapText="1"/>
    </xf>
    <xf borderId="4" fillId="7" fontId="15" numFmtId="0" xfId="0" applyAlignment="1" applyBorder="1" applyFill="1" applyFont="1">
      <alignment horizontal="center" readingOrder="0" shrinkToFit="0" vertical="top" wrapText="1"/>
    </xf>
    <xf borderId="9" fillId="5" fontId="10" numFmtId="0" xfId="0" applyAlignment="1" applyBorder="1" applyFont="1">
      <alignment shrinkToFit="0" vertical="top" wrapText="1"/>
    </xf>
    <xf borderId="1" fillId="7" fontId="10" numFmtId="0" xfId="0" applyAlignment="1" applyBorder="1" applyFont="1">
      <alignment horizontal="center" shrinkToFit="0" vertical="top" wrapText="1"/>
    </xf>
    <xf borderId="9" fillId="5" fontId="15" numFmtId="0" xfId="0" applyAlignment="1" applyBorder="1" applyFont="1">
      <alignment horizontal="center" shrinkToFit="0" vertical="top" wrapText="1"/>
    </xf>
    <xf borderId="9" fillId="5" fontId="10" numFmtId="0" xfId="0" applyAlignment="1" applyBorder="1" applyFont="1">
      <alignment horizontal="center" shrinkToFit="0" vertical="top" wrapText="1"/>
    </xf>
    <xf borderId="4" fillId="7" fontId="15" numFmtId="0" xfId="0" applyAlignment="1" applyBorder="1" applyFont="1">
      <alignment horizontal="center" shrinkToFit="0" vertical="top" wrapText="1"/>
    </xf>
    <xf borderId="11" fillId="8" fontId="13" numFmtId="0" xfId="0" applyAlignment="1" applyBorder="1" applyFill="1" applyFont="1">
      <alignment horizontal="center" shrinkToFit="0" vertical="top" wrapText="1"/>
    </xf>
    <xf borderId="12" fillId="7" fontId="10" numFmtId="0" xfId="0" applyAlignment="1" applyBorder="1" applyFont="1">
      <alignment horizontal="center" shrinkToFit="0" vertical="top" wrapText="1"/>
    </xf>
    <xf borderId="13" fillId="0" fontId="4" numFmtId="0" xfId="0" applyBorder="1" applyFont="1"/>
    <xf borderId="9" fillId="5" fontId="12" numFmtId="0" xfId="0" applyAlignment="1" applyBorder="1" applyFont="1">
      <alignment horizontal="center" shrinkToFit="0" vertical="top" wrapText="1"/>
    </xf>
    <xf borderId="14" fillId="0" fontId="4" numFmtId="0" xfId="0" applyBorder="1" applyFont="1"/>
    <xf borderId="12" fillId="7" fontId="10" numFmtId="0" xfId="0" applyAlignment="1" applyBorder="1" applyFont="1">
      <alignment horizontal="left" readingOrder="0" shrinkToFit="0" vertical="top" wrapText="1"/>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2" fillId="9" fontId="16" numFmtId="0" xfId="0" applyAlignment="1" applyBorder="1" applyFill="1" applyFont="1">
      <alignment horizontal="center" shrinkToFit="0" vertical="top" wrapText="1"/>
    </xf>
    <xf borderId="22" fillId="2" fontId="15" numFmtId="0" xfId="0" applyAlignment="1" applyBorder="1" applyFont="1">
      <alignment horizontal="center" shrinkToFit="0" vertical="top" wrapText="1"/>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12" fillId="6" fontId="13" numFmtId="0" xfId="0" applyAlignment="1" applyBorder="1" applyFont="1">
      <alignment horizontal="center" shrinkToFit="0" vertical="top" wrapText="1"/>
    </xf>
    <xf borderId="12" fillId="7" fontId="10" numFmtId="49" xfId="0" applyAlignment="1" applyBorder="1" applyFont="1" applyNumberFormat="1">
      <alignment horizontal="left" readingOrder="0" shrinkToFit="0" vertical="top" wrapText="1"/>
    </xf>
    <xf borderId="12" fillId="7" fontId="10" numFmtId="0" xfId="0" applyAlignment="1" applyBorder="1" applyFont="1">
      <alignment horizontal="center" readingOrder="0" shrinkToFit="0" vertical="top" wrapText="1"/>
    </xf>
    <xf borderId="28" fillId="5" fontId="12" numFmtId="0" xfId="0" applyAlignment="1" applyBorder="1" applyFont="1">
      <alignment shrinkToFit="0" vertical="top" wrapText="1"/>
    </xf>
    <xf borderId="29" fillId="5" fontId="12" numFmtId="0" xfId="0" applyAlignment="1" applyBorder="1" applyFont="1">
      <alignment shrinkToFit="0" vertical="top" wrapText="1"/>
    </xf>
    <xf borderId="30" fillId="5" fontId="12" numFmtId="0" xfId="0" applyAlignment="1" applyBorder="1" applyFont="1">
      <alignment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8.63"/>
    <col customWidth="1" min="3" max="5" width="20.63"/>
    <col customWidth="1" min="6" max="6" width="13.13"/>
    <col customWidth="1" min="7" max="7" width="32.5"/>
    <col customWidth="1" min="8" max="12" width="10.63"/>
    <col customWidth="1" min="13" max="13" width="32.75"/>
    <col customWidth="1" min="14" max="14" width="37.25"/>
    <col customWidth="1" min="15" max="15" width="20.63"/>
    <col customWidth="1" min="16" max="26" width="9.38"/>
  </cols>
  <sheetData>
    <row r="1">
      <c r="A1" s="1" t="s">
        <v>0</v>
      </c>
      <c r="B1" s="2"/>
      <c r="C1" s="3"/>
      <c r="D1" s="2"/>
      <c r="E1" s="2"/>
      <c r="F1" s="2"/>
      <c r="G1" s="2"/>
      <c r="H1" s="2"/>
      <c r="I1" s="4"/>
      <c r="J1" s="4"/>
      <c r="K1" s="5"/>
      <c r="L1" s="4"/>
      <c r="M1" s="2"/>
      <c r="N1" s="2"/>
      <c r="O1" s="2"/>
      <c r="P1" s="2"/>
      <c r="Q1" s="2"/>
      <c r="R1" s="2"/>
      <c r="S1" s="2"/>
      <c r="T1" s="2"/>
      <c r="U1" s="2"/>
      <c r="V1" s="2"/>
      <c r="W1" s="2"/>
      <c r="X1" s="2"/>
      <c r="Y1" s="2"/>
      <c r="Z1" s="2"/>
    </row>
    <row r="2">
      <c r="A2" s="2"/>
      <c r="B2" s="2"/>
      <c r="C2" s="2"/>
      <c r="D2" s="2"/>
      <c r="E2" s="2"/>
      <c r="F2" s="2"/>
      <c r="G2" s="2"/>
      <c r="H2" s="2"/>
      <c r="I2" s="4"/>
      <c r="J2" s="4"/>
      <c r="K2" s="5"/>
      <c r="L2" s="4"/>
      <c r="M2" s="2"/>
      <c r="N2" s="2"/>
      <c r="O2" s="2"/>
      <c r="P2" s="2"/>
      <c r="Q2" s="2"/>
      <c r="R2" s="2"/>
      <c r="S2" s="2"/>
      <c r="T2" s="2"/>
      <c r="U2" s="2"/>
      <c r="V2" s="2"/>
      <c r="W2" s="2"/>
      <c r="X2" s="2"/>
      <c r="Y2" s="2"/>
      <c r="Z2" s="2"/>
    </row>
    <row r="3" ht="45.0" customHeight="1">
      <c r="A3" s="2"/>
      <c r="B3" s="6" t="s">
        <v>1</v>
      </c>
      <c r="C3" s="7"/>
      <c r="D3" s="7"/>
      <c r="E3" s="7"/>
      <c r="F3" s="7"/>
      <c r="G3" s="7"/>
      <c r="H3" s="7"/>
      <c r="I3" s="7"/>
      <c r="J3" s="7"/>
      <c r="K3" s="7"/>
      <c r="L3" s="7"/>
      <c r="M3" s="7"/>
      <c r="N3" s="7"/>
      <c r="O3" s="8"/>
      <c r="P3" s="2"/>
      <c r="Q3" s="2"/>
      <c r="R3" s="2"/>
      <c r="S3" s="2"/>
      <c r="T3" s="2"/>
      <c r="U3" s="2"/>
      <c r="V3" s="2"/>
      <c r="W3" s="2"/>
      <c r="X3" s="2"/>
      <c r="Y3" s="2"/>
      <c r="Z3" s="2"/>
    </row>
    <row r="4">
      <c r="A4" s="2"/>
      <c r="B4" s="2"/>
      <c r="C4" s="2"/>
      <c r="D4" s="2"/>
      <c r="E4" s="2"/>
      <c r="F4" s="2"/>
      <c r="G4" s="2"/>
      <c r="H4" s="2"/>
      <c r="I4" s="4"/>
      <c r="J4" s="4"/>
      <c r="K4" s="5"/>
      <c r="L4" s="4"/>
      <c r="M4" s="2"/>
      <c r="N4" s="2"/>
      <c r="O4" s="2"/>
      <c r="P4" s="2"/>
      <c r="Q4" s="2"/>
      <c r="R4" s="2"/>
      <c r="S4" s="2"/>
      <c r="T4" s="2"/>
      <c r="U4" s="2"/>
      <c r="V4" s="2"/>
      <c r="W4" s="2"/>
      <c r="X4" s="2"/>
      <c r="Y4" s="2"/>
      <c r="Z4" s="2"/>
    </row>
    <row r="5">
      <c r="A5" s="2"/>
      <c r="B5" s="2"/>
      <c r="C5" s="2"/>
      <c r="D5" s="2"/>
      <c r="E5" s="2"/>
      <c r="F5" s="2"/>
      <c r="G5" s="2"/>
      <c r="H5" s="2"/>
      <c r="I5" s="4"/>
      <c r="J5" s="4"/>
      <c r="K5" s="5"/>
      <c r="L5" s="4"/>
      <c r="M5" s="2"/>
      <c r="N5" s="2"/>
      <c r="O5" s="2"/>
      <c r="P5" s="2"/>
      <c r="Q5" s="2"/>
      <c r="R5" s="2"/>
      <c r="S5" s="2"/>
      <c r="T5" s="2"/>
      <c r="U5" s="2"/>
      <c r="V5" s="2"/>
      <c r="W5" s="2"/>
      <c r="X5" s="2"/>
      <c r="Y5" s="2"/>
      <c r="Z5" s="2"/>
    </row>
    <row r="6" ht="60.0" customHeight="1">
      <c r="A6" s="1"/>
      <c r="B6" s="9" t="s">
        <v>2</v>
      </c>
      <c r="C6" s="9" t="s">
        <v>3</v>
      </c>
      <c r="D6" s="9" t="s">
        <v>4</v>
      </c>
      <c r="E6" s="9" t="s">
        <v>5</v>
      </c>
      <c r="F6" s="9" t="s">
        <v>6</v>
      </c>
      <c r="G6" s="9" t="s">
        <v>7</v>
      </c>
      <c r="H6" s="9" t="s">
        <v>8</v>
      </c>
      <c r="I6" s="9" t="s">
        <v>9</v>
      </c>
      <c r="J6" s="9" t="s">
        <v>10</v>
      </c>
      <c r="K6" s="9" t="s">
        <v>11</v>
      </c>
      <c r="L6" s="9" t="s">
        <v>12</v>
      </c>
      <c r="M6" s="9" t="s">
        <v>13</v>
      </c>
      <c r="N6" s="9" t="s">
        <v>14</v>
      </c>
      <c r="O6" s="9" t="s">
        <v>15</v>
      </c>
      <c r="P6" s="2"/>
      <c r="Q6" s="2"/>
      <c r="R6" s="2"/>
      <c r="S6" s="2"/>
      <c r="T6" s="2"/>
      <c r="U6" s="2"/>
      <c r="V6" s="2"/>
      <c r="W6" s="2"/>
      <c r="X6" s="2"/>
      <c r="Y6" s="2"/>
      <c r="Z6" s="2"/>
    </row>
    <row r="7" ht="75.0" customHeight="1">
      <c r="A7" s="1"/>
      <c r="B7" s="10" t="s">
        <v>16</v>
      </c>
      <c r="C7" s="11" t="s">
        <v>17</v>
      </c>
      <c r="D7" s="11" t="s">
        <v>18</v>
      </c>
      <c r="E7" s="11" t="s">
        <v>19</v>
      </c>
      <c r="F7" s="11" t="s">
        <v>20</v>
      </c>
      <c r="G7" s="11" t="s">
        <v>21</v>
      </c>
      <c r="H7" s="11" t="s">
        <v>22</v>
      </c>
      <c r="I7" s="11">
        <v>5.0</v>
      </c>
      <c r="J7" s="12">
        <v>45979.0</v>
      </c>
      <c r="K7" s="11" t="s">
        <v>23</v>
      </c>
      <c r="L7" s="11" t="s">
        <v>24</v>
      </c>
      <c r="M7" s="13" t="s">
        <v>25</v>
      </c>
      <c r="N7" s="11" t="s">
        <v>26</v>
      </c>
      <c r="O7" s="11" t="s">
        <v>27</v>
      </c>
      <c r="P7" s="2"/>
      <c r="Q7" s="2"/>
      <c r="R7" s="2"/>
      <c r="S7" s="2"/>
      <c r="T7" s="2"/>
      <c r="U7" s="2"/>
      <c r="V7" s="2"/>
      <c r="W7" s="2"/>
      <c r="X7" s="2"/>
      <c r="Y7" s="2"/>
      <c r="Z7" s="2"/>
    </row>
    <row r="8" ht="75.75" customHeight="1">
      <c r="A8" s="1"/>
      <c r="B8" s="10" t="s">
        <v>28</v>
      </c>
      <c r="C8" s="11" t="s">
        <v>29</v>
      </c>
      <c r="D8" s="11" t="s">
        <v>30</v>
      </c>
      <c r="E8" s="11" t="s">
        <v>31</v>
      </c>
      <c r="F8" s="11" t="s">
        <v>20</v>
      </c>
      <c r="G8" s="11" t="s">
        <v>32</v>
      </c>
      <c r="H8" s="11" t="s">
        <v>33</v>
      </c>
      <c r="I8" s="11">
        <v>3.0</v>
      </c>
      <c r="J8" s="12">
        <v>45979.0</v>
      </c>
      <c r="K8" s="14" t="s">
        <v>23</v>
      </c>
      <c r="L8" s="11" t="s">
        <v>24</v>
      </c>
      <c r="M8" s="13" t="s">
        <v>34</v>
      </c>
      <c r="N8" s="11" t="s">
        <v>35</v>
      </c>
      <c r="O8" s="11" t="s">
        <v>36</v>
      </c>
      <c r="P8" s="2"/>
      <c r="Q8" s="2"/>
      <c r="R8" s="2"/>
      <c r="S8" s="2"/>
      <c r="T8" s="2"/>
      <c r="U8" s="2"/>
      <c r="V8" s="2"/>
      <c r="W8" s="2"/>
      <c r="X8" s="2"/>
      <c r="Y8" s="2"/>
      <c r="Z8" s="2"/>
    </row>
    <row r="9" ht="75.75" customHeight="1">
      <c r="A9" s="1"/>
      <c r="B9" s="10" t="s">
        <v>37</v>
      </c>
      <c r="C9" s="11" t="s">
        <v>38</v>
      </c>
      <c r="D9" s="11" t="s">
        <v>39</v>
      </c>
      <c r="E9" s="11" t="s">
        <v>40</v>
      </c>
      <c r="F9" s="11" t="s">
        <v>20</v>
      </c>
      <c r="G9" s="11" t="s">
        <v>41</v>
      </c>
      <c r="H9" s="11" t="s">
        <v>33</v>
      </c>
      <c r="I9" s="11">
        <v>2.0</v>
      </c>
      <c r="J9" s="12">
        <v>45979.0</v>
      </c>
      <c r="K9" s="11" t="s">
        <v>23</v>
      </c>
      <c r="L9" s="15" t="s">
        <v>42</v>
      </c>
      <c r="M9" s="13" t="s">
        <v>43</v>
      </c>
      <c r="N9" s="11" t="s">
        <v>44</v>
      </c>
      <c r="O9" s="11" t="s">
        <v>45</v>
      </c>
      <c r="P9" s="2"/>
      <c r="Q9" s="2"/>
      <c r="R9" s="2"/>
      <c r="S9" s="2"/>
      <c r="T9" s="2"/>
      <c r="U9" s="2"/>
      <c r="V9" s="2"/>
      <c r="W9" s="2"/>
      <c r="X9" s="2"/>
      <c r="Y9" s="2"/>
      <c r="Z9" s="2"/>
    </row>
    <row r="10" ht="75.75" customHeight="1">
      <c r="A10" s="1"/>
      <c r="B10" s="10" t="s">
        <v>46</v>
      </c>
      <c r="C10" s="11" t="s">
        <v>47</v>
      </c>
      <c r="D10" s="11" t="s">
        <v>48</v>
      </c>
      <c r="E10" s="11" t="s">
        <v>49</v>
      </c>
      <c r="F10" s="11" t="s">
        <v>20</v>
      </c>
      <c r="G10" s="16" t="s">
        <v>50</v>
      </c>
      <c r="H10" s="11" t="s">
        <v>33</v>
      </c>
      <c r="I10" s="11">
        <v>3.0</v>
      </c>
      <c r="J10" s="12">
        <v>45979.0</v>
      </c>
      <c r="K10" s="11" t="s">
        <v>23</v>
      </c>
      <c r="L10" s="15" t="s">
        <v>42</v>
      </c>
      <c r="M10" s="11" t="s">
        <v>51</v>
      </c>
      <c r="N10" s="11" t="s">
        <v>52</v>
      </c>
      <c r="O10" s="11" t="s">
        <v>53</v>
      </c>
      <c r="P10" s="2"/>
      <c r="Q10" s="2"/>
      <c r="R10" s="2"/>
      <c r="S10" s="2"/>
      <c r="T10" s="2"/>
      <c r="U10" s="2"/>
      <c r="V10" s="2"/>
      <c r="W10" s="2"/>
      <c r="X10" s="2"/>
      <c r="Y10" s="2"/>
      <c r="Z10" s="2"/>
    </row>
    <row r="11" ht="64.5" customHeight="1">
      <c r="A11" s="1"/>
      <c r="B11" s="10" t="s">
        <v>54</v>
      </c>
      <c r="C11" s="11" t="s">
        <v>55</v>
      </c>
      <c r="D11" s="16" t="s">
        <v>56</v>
      </c>
      <c r="E11" s="11" t="s">
        <v>57</v>
      </c>
      <c r="F11" s="11" t="s">
        <v>20</v>
      </c>
      <c r="G11" s="16" t="s">
        <v>58</v>
      </c>
      <c r="H11" s="11" t="s">
        <v>33</v>
      </c>
      <c r="I11" s="11">
        <v>2.0</v>
      </c>
      <c r="J11" s="12">
        <v>45979.0</v>
      </c>
      <c r="K11" s="11" t="s">
        <v>59</v>
      </c>
      <c r="L11" s="15" t="s">
        <v>42</v>
      </c>
      <c r="M11" s="11" t="s">
        <v>60</v>
      </c>
      <c r="N11" s="11" t="s">
        <v>61</v>
      </c>
      <c r="O11" s="11" t="s">
        <v>62</v>
      </c>
      <c r="P11" s="2"/>
      <c r="Q11" s="2"/>
      <c r="R11" s="2"/>
      <c r="S11" s="2"/>
      <c r="T11" s="2"/>
      <c r="U11" s="2"/>
      <c r="V11" s="2"/>
      <c r="W11" s="2"/>
      <c r="X11" s="2"/>
      <c r="Y11" s="2"/>
      <c r="Z11" s="2"/>
    </row>
    <row r="12" ht="61.5" customHeight="1">
      <c r="A12" s="1"/>
      <c r="B12" s="10" t="s">
        <v>63</v>
      </c>
      <c r="C12" s="11" t="s">
        <v>64</v>
      </c>
      <c r="D12" s="11" t="s">
        <v>65</v>
      </c>
      <c r="E12" s="11" t="s">
        <v>66</v>
      </c>
      <c r="F12" s="11" t="s">
        <v>20</v>
      </c>
      <c r="G12" s="11" t="s">
        <v>67</v>
      </c>
      <c r="H12" s="11" t="s">
        <v>33</v>
      </c>
      <c r="I12" s="11">
        <v>2.0</v>
      </c>
      <c r="J12" s="12">
        <v>45979.0</v>
      </c>
      <c r="K12" s="11" t="s">
        <v>23</v>
      </c>
      <c r="L12" s="11" t="s">
        <v>24</v>
      </c>
      <c r="M12" s="13" t="s">
        <v>68</v>
      </c>
      <c r="N12" s="11" t="s">
        <v>69</v>
      </c>
      <c r="O12" s="11" t="s">
        <v>70</v>
      </c>
      <c r="P12" s="2"/>
      <c r="Q12" s="2"/>
      <c r="R12" s="2"/>
      <c r="S12" s="2"/>
      <c r="T12" s="2"/>
      <c r="U12" s="2"/>
      <c r="V12" s="2"/>
      <c r="W12" s="2"/>
      <c r="X12" s="2"/>
      <c r="Y12" s="2"/>
      <c r="Z12" s="2"/>
    </row>
    <row r="13" ht="70.5" customHeight="1">
      <c r="A13" s="1"/>
      <c r="B13" s="10" t="s">
        <v>71</v>
      </c>
      <c r="C13" s="11" t="s">
        <v>72</v>
      </c>
      <c r="D13" s="17" t="s">
        <v>73</v>
      </c>
      <c r="E13" s="11" t="s">
        <v>74</v>
      </c>
      <c r="F13" s="11" t="s">
        <v>20</v>
      </c>
      <c r="G13" s="16" t="s">
        <v>75</v>
      </c>
      <c r="H13" s="11" t="s">
        <v>33</v>
      </c>
      <c r="I13" s="11">
        <v>2.0</v>
      </c>
      <c r="J13" s="12">
        <v>45979.0</v>
      </c>
      <c r="K13" s="11" t="s">
        <v>23</v>
      </c>
      <c r="L13" s="15" t="s">
        <v>42</v>
      </c>
      <c r="M13" s="11" t="s">
        <v>76</v>
      </c>
      <c r="N13" s="11" t="s">
        <v>77</v>
      </c>
      <c r="O13" s="11" t="s">
        <v>78</v>
      </c>
      <c r="P13" s="2"/>
      <c r="Q13" s="2"/>
      <c r="R13" s="2"/>
      <c r="S13" s="2"/>
      <c r="T13" s="2"/>
      <c r="U13" s="2"/>
      <c r="V13" s="2"/>
      <c r="W13" s="2"/>
      <c r="X13" s="2"/>
      <c r="Y13" s="2"/>
      <c r="Z13" s="2"/>
    </row>
    <row r="14" ht="61.5" customHeight="1">
      <c r="A14" s="1"/>
      <c r="B14" s="10" t="s">
        <v>79</v>
      </c>
      <c r="C14" s="11" t="s">
        <v>80</v>
      </c>
      <c r="D14" s="16" t="s">
        <v>81</v>
      </c>
      <c r="E14" s="11" t="s">
        <v>82</v>
      </c>
      <c r="F14" s="11" t="s">
        <v>20</v>
      </c>
      <c r="G14" s="16" t="s">
        <v>83</v>
      </c>
      <c r="H14" s="11" t="s">
        <v>84</v>
      </c>
      <c r="I14" s="11">
        <v>2.0</v>
      </c>
      <c r="J14" s="12">
        <v>45979.0</v>
      </c>
      <c r="K14" s="11" t="s">
        <v>23</v>
      </c>
      <c r="L14" s="15" t="s">
        <v>42</v>
      </c>
      <c r="M14" s="11" t="s">
        <v>85</v>
      </c>
      <c r="N14" s="11" t="s">
        <v>86</v>
      </c>
      <c r="O14" s="11" t="s">
        <v>87</v>
      </c>
      <c r="P14" s="2"/>
      <c r="Q14" s="2"/>
      <c r="R14" s="2"/>
      <c r="S14" s="2"/>
      <c r="T14" s="2"/>
      <c r="U14" s="2"/>
      <c r="V14" s="2"/>
      <c r="W14" s="2"/>
      <c r="X14" s="2"/>
      <c r="Y14" s="2"/>
      <c r="Z14" s="2"/>
    </row>
    <row r="15" ht="58.5" customHeight="1">
      <c r="A15" s="1"/>
      <c r="B15" s="10" t="s">
        <v>88</v>
      </c>
      <c r="C15" s="11" t="s">
        <v>89</v>
      </c>
      <c r="D15" s="16" t="s">
        <v>90</v>
      </c>
      <c r="E15" s="11" t="s">
        <v>91</v>
      </c>
      <c r="F15" s="11" t="s">
        <v>20</v>
      </c>
      <c r="G15" s="16" t="s">
        <v>92</v>
      </c>
      <c r="H15" s="11" t="s">
        <v>84</v>
      </c>
      <c r="I15" s="11">
        <v>2.0</v>
      </c>
      <c r="J15" s="12">
        <v>45979.0</v>
      </c>
      <c r="K15" s="11" t="s">
        <v>59</v>
      </c>
      <c r="L15" s="15" t="s">
        <v>42</v>
      </c>
      <c r="M15" s="11" t="s">
        <v>93</v>
      </c>
      <c r="N15" s="18" t="s">
        <v>94</v>
      </c>
      <c r="O15" s="11" t="s">
        <v>95</v>
      </c>
      <c r="P15" s="2"/>
      <c r="Q15" s="2"/>
      <c r="R15" s="2"/>
      <c r="S15" s="2"/>
      <c r="T15" s="2"/>
      <c r="U15" s="2"/>
      <c r="V15" s="2"/>
      <c r="W15" s="2"/>
      <c r="X15" s="2"/>
      <c r="Y15" s="2"/>
      <c r="Z15" s="2"/>
    </row>
    <row r="16" ht="39.75" customHeight="1">
      <c r="A16" s="1"/>
      <c r="B16" s="10" t="s">
        <v>96</v>
      </c>
      <c r="C16" s="11" t="s">
        <v>97</v>
      </c>
      <c r="D16" s="19" t="s">
        <v>98</v>
      </c>
      <c r="E16" s="20" t="s">
        <v>99</v>
      </c>
      <c r="F16" s="11" t="s">
        <v>20</v>
      </c>
      <c r="G16" s="20" t="s">
        <v>100</v>
      </c>
      <c r="H16" s="11" t="s">
        <v>84</v>
      </c>
      <c r="I16" s="11">
        <v>3.0</v>
      </c>
      <c r="J16" s="12">
        <v>45979.0</v>
      </c>
      <c r="K16" s="11" t="s">
        <v>23</v>
      </c>
      <c r="L16" s="11" t="s">
        <v>24</v>
      </c>
      <c r="M16" s="11" t="s">
        <v>101</v>
      </c>
      <c r="N16" s="18" t="s">
        <v>102</v>
      </c>
      <c r="O16" s="11" t="s">
        <v>103</v>
      </c>
      <c r="P16" s="2"/>
      <c r="Q16" s="2"/>
      <c r="R16" s="2"/>
      <c r="S16" s="2"/>
      <c r="T16" s="2"/>
      <c r="U16" s="2"/>
      <c r="V16" s="2"/>
      <c r="W16" s="2"/>
      <c r="X16" s="2"/>
      <c r="Y16" s="2"/>
      <c r="Z16" s="2"/>
    </row>
    <row r="17" ht="72.0" customHeight="1">
      <c r="A17" s="1"/>
      <c r="B17" s="10" t="s">
        <v>104</v>
      </c>
      <c r="C17" s="11" t="s">
        <v>105</v>
      </c>
      <c r="D17" s="11" t="s">
        <v>106</v>
      </c>
      <c r="E17" s="11" t="s">
        <v>107</v>
      </c>
      <c r="F17" s="11" t="s">
        <v>20</v>
      </c>
      <c r="G17" s="16" t="s">
        <v>108</v>
      </c>
      <c r="H17" s="11" t="s">
        <v>84</v>
      </c>
      <c r="I17" s="11">
        <v>2.0</v>
      </c>
      <c r="J17" s="12">
        <v>45979.0</v>
      </c>
      <c r="K17" s="11" t="s">
        <v>23</v>
      </c>
      <c r="L17" s="15" t="s">
        <v>42</v>
      </c>
      <c r="M17" s="11" t="s">
        <v>109</v>
      </c>
      <c r="N17" s="18" t="s">
        <v>110</v>
      </c>
      <c r="O17" s="11" t="s">
        <v>111</v>
      </c>
      <c r="P17" s="2"/>
      <c r="Q17" s="2"/>
      <c r="R17" s="2"/>
      <c r="S17" s="2"/>
      <c r="T17" s="2"/>
      <c r="U17" s="2"/>
      <c r="V17" s="2"/>
      <c r="W17" s="2"/>
      <c r="X17" s="2"/>
      <c r="Y17" s="2"/>
      <c r="Z17" s="2"/>
    </row>
    <row r="18" ht="44.25" customHeight="1">
      <c r="A18" s="1"/>
      <c r="B18" s="10" t="s">
        <v>112</v>
      </c>
      <c r="C18" s="11" t="s">
        <v>113</v>
      </c>
      <c r="D18" s="11" t="s">
        <v>114</v>
      </c>
      <c r="E18" s="11" t="s">
        <v>115</v>
      </c>
      <c r="F18" s="11" t="s">
        <v>20</v>
      </c>
      <c r="G18" s="16" t="s">
        <v>116</v>
      </c>
      <c r="H18" s="11" t="s">
        <v>84</v>
      </c>
      <c r="I18" s="11">
        <v>2.0</v>
      </c>
      <c r="J18" s="12">
        <v>45979.0</v>
      </c>
      <c r="K18" s="11" t="s">
        <v>23</v>
      </c>
      <c r="L18" s="15" t="s">
        <v>42</v>
      </c>
      <c r="M18" s="11" t="s">
        <v>117</v>
      </c>
      <c r="N18" s="21" t="s">
        <v>118</v>
      </c>
      <c r="O18" s="11" t="s">
        <v>119</v>
      </c>
      <c r="P18" s="2"/>
      <c r="Q18" s="2"/>
      <c r="R18" s="2"/>
      <c r="S18" s="2"/>
      <c r="T18" s="2"/>
      <c r="U18" s="2"/>
      <c r="V18" s="2"/>
      <c r="W18" s="2"/>
      <c r="X18" s="2"/>
      <c r="Y18" s="2"/>
      <c r="Z18" s="2"/>
    </row>
    <row r="19" ht="76.5" customHeight="1">
      <c r="A19" s="1"/>
      <c r="B19" s="10" t="s">
        <v>120</v>
      </c>
      <c r="C19" s="11" t="s">
        <v>121</v>
      </c>
      <c r="D19" s="11" t="s">
        <v>122</v>
      </c>
      <c r="E19" s="11" t="s">
        <v>123</v>
      </c>
      <c r="F19" s="11" t="s">
        <v>20</v>
      </c>
      <c r="G19" s="16" t="s">
        <v>124</v>
      </c>
      <c r="H19" s="11" t="s">
        <v>125</v>
      </c>
      <c r="I19" s="11">
        <v>3.0</v>
      </c>
      <c r="J19" s="12">
        <v>45979.0</v>
      </c>
      <c r="K19" s="11" t="s">
        <v>23</v>
      </c>
      <c r="L19" s="15" t="s">
        <v>42</v>
      </c>
      <c r="M19" s="11" t="s">
        <v>126</v>
      </c>
      <c r="N19" s="22" t="s">
        <v>127</v>
      </c>
      <c r="O19" s="11" t="s">
        <v>128</v>
      </c>
      <c r="P19" s="2"/>
      <c r="Q19" s="2"/>
      <c r="R19" s="2"/>
      <c r="S19" s="2"/>
      <c r="T19" s="2"/>
      <c r="U19" s="2"/>
      <c r="V19" s="2"/>
      <c r="W19" s="2"/>
      <c r="X19" s="2"/>
      <c r="Y19" s="2"/>
      <c r="Z19" s="2"/>
    </row>
    <row r="20" ht="71.25" customHeight="1">
      <c r="A20" s="1"/>
      <c r="B20" s="10" t="s">
        <v>129</v>
      </c>
      <c r="C20" s="11" t="s">
        <v>130</v>
      </c>
      <c r="D20" s="11" t="s">
        <v>131</v>
      </c>
      <c r="E20" s="11" t="s">
        <v>132</v>
      </c>
      <c r="F20" s="11" t="s">
        <v>20</v>
      </c>
      <c r="G20" s="16" t="s">
        <v>133</v>
      </c>
      <c r="H20" s="11" t="s">
        <v>125</v>
      </c>
      <c r="I20" s="11">
        <v>1.0</v>
      </c>
      <c r="J20" s="12">
        <v>45979.0</v>
      </c>
      <c r="K20" s="11" t="s">
        <v>59</v>
      </c>
      <c r="L20" s="15" t="s">
        <v>42</v>
      </c>
      <c r="M20" s="11" t="s">
        <v>134</v>
      </c>
      <c r="N20" s="22" t="s">
        <v>135</v>
      </c>
      <c r="O20" s="11" t="s">
        <v>136</v>
      </c>
      <c r="P20" s="2"/>
      <c r="Q20" s="2"/>
      <c r="R20" s="2"/>
      <c r="S20" s="2"/>
      <c r="T20" s="2"/>
      <c r="U20" s="2"/>
      <c r="V20" s="2"/>
      <c r="W20" s="2"/>
      <c r="X20" s="2"/>
      <c r="Y20" s="2"/>
      <c r="Z20" s="2"/>
    </row>
    <row r="21">
      <c r="A21" s="1"/>
      <c r="B21" s="10" t="s">
        <v>137</v>
      </c>
      <c r="C21" s="11" t="s">
        <v>138</v>
      </c>
      <c r="D21" s="11" t="s">
        <v>139</v>
      </c>
      <c r="E21" s="11" t="s">
        <v>140</v>
      </c>
      <c r="F21" s="11" t="s">
        <v>20</v>
      </c>
      <c r="G21" s="16" t="s">
        <v>141</v>
      </c>
      <c r="H21" s="11" t="s">
        <v>125</v>
      </c>
      <c r="I21" s="11">
        <v>3.0</v>
      </c>
      <c r="J21" s="12">
        <v>45979.0</v>
      </c>
      <c r="K21" s="11" t="s">
        <v>23</v>
      </c>
      <c r="L21" s="15" t="s">
        <v>42</v>
      </c>
      <c r="M21" s="11" t="s">
        <v>142</v>
      </c>
      <c r="N21" s="22" t="s">
        <v>143</v>
      </c>
      <c r="O21" s="11" t="s">
        <v>144</v>
      </c>
      <c r="P21" s="2"/>
      <c r="Q21" s="2"/>
      <c r="R21" s="2"/>
      <c r="S21" s="2"/>
      <c r="T21" s="2"/>
      <c r="U21" s="2"/>
      <c r="V21" s="2"/>
      <c r="W21" s="2"/>
      <c r="X21" s="2"/>
      <c r="Y21" s="2"/>
      <c r="Z21" s="2"/>
    </row>
    <row r="22">
      <c r="A22" s="1"/>
      <c r="B22" s="10" t="s">
        <v>145</v>
      </c>
      <c r="C22" s="11" t="s">
        <v>146</v>
      </c>
      <c r="D22" s="11" t="s">
        <v>147</v>
      </c>
      <c r="E22" s="11" t="s">
        <v>148</v>
      </c>
      <c r="F22" s="11" t="s">
        <v>20</v>
      </c>
      <c r="G22" s="16" t="s">
        <v>149</v>
      </c>
      <c r="H22" s="11" t="s">
        <v>125</v>
      </c>
      <c r="I22" s="11">
        <v>3.0</v>
      </c>
      <c r="J22" s="12">
        <v>45979.0</v>
      </c>
      <c r="K22" s="11" t="s">
        <v>23</v>
      </c>
      <c r="L22" s="11" t="s">
        <v>42</v>
      </c>
      <c r="M22" s="11" t="s">
        <v>150</v>
      </c>
      <c r="N22" s="22" t="s">
        <v>151</v>
      </c>
      <c r="O22" s="11" t="s">
        <v>152</v>
      </c>
      <c r="P22" s="2"/>
      <c r="Q22" s="2"/>
      <c r="R22" s="2"/>
      <c r="S22" s="2"/>
      <c r="T22" s="2"/>
      <c r="U22" s="2"/>
      <c r="V22" s="2"/>
      <c r="W22" s="2"/>
      <c r="X22" s="2"/>
      <c r="Y22" s="2"/>
      <c r="Z22" s="2"/>
    </row>
    <row r="23" ht="15.75" customHeight="1">
      <c r="A23" s="1"/>
      <c r="B23" s="10" t="s">
        <v>153</v>
      </c>
      <c r="C23" s="11" t="s">
        <v>154</v>
      </c>
      <c r="D23" s="11" t="s">
        <v>155</v>
      </c>
      <c r="E23" s="11" t="s">
        <v>156</v>
      </c>
      <c r="F23" s="11" t="s">
        <v>20</v>
      </c>
      <c r="G23" s="11" t="s">
        <v>157</v>
      </c>
      <c r="H23" s="11" t="s">
        <v>125</v>
      </c>
      <c r="I23" s="11">
        <v>4.0</v>
      </c>
      <c r="J23" s="12">
        <v>45979.0</v>
      </c>
      <c r="K23" s="11" t="s">
        <v>23</v>
      </c>
      <c r="L23" s="15" t="s">
        <v>42</v>
      </c>
      <c r="M23" s="23" t="s">
        <v>158</v>
      </c>
      <c r="N23" s="19" t="s">
        <v>159</v>
      </c>
      <c r="O23" s="11" t="s">
        <v>160</v>
      </c>
      <c r="P23" s="2"/>
      <c r="Q23" s="2"/>
      <c r="R23" s="2"/>
      <c r="S23" s="2"/>
      <c r="T23" s="2"/>
      <c r="U23" s="2"/>
      <c r="V23" s="2"/>
      <c r="W23" s="2"/>
      <c r="X23" s="2"/>
      <c r="Y23" s="2"/>
      <c r="Z23" s="2"/>
    </row>
    <row r="24" ht="15.75" customHeight="1">
      <c r="A24" s="1"/>
      <c r="B24" s="10" t="s">
        <v>161</v>
      </c>
      <c r="C24" s="11" t="s">
        <v>162</v>
      </c>
      <c r="D24" s="11" t="s">
        <v>163</v>
      </c>
      <c r="E24" s="11" t="s">
        <v>164</v>
      </c>
      <c r="F24" s="11" t="s">
        <v>20</v>
      </c>
      <c r="G24" s="11" t="s">
        <v>165</v>
      </c>
      <c r="H24" s="11" t="s">
        <v>125</v>
      </c>
      <c r="I24" s="11">
        <v>4.0</v>
      </c>
      <c r="J24" s="12">
        <v>45979.0</v>
      </c>
      <c r="K24" s="11" t="s">
        <v>23</v>
      </c>
      <c r="L24" s="15" t="s">
        <v>42</v>
      </c>
      <c r="M24" s="23" t="s">
        <v>166</v>
      </c>
      <c r="N24" s="19"/>
      <c r="O24" s="11" t="s">
        <v>167</v>
      </c>
      <c r="P24" s="2"/>
      <c r="Q24" s="2"/>
      <c r="R24" s="2"/>
      <c r="S24" s="2"/>
      <c r="T24" s="2"/>
      <c r="U24" s="2"/>
      <c r="V24" s="2"/>
      <c r="W24" s="2"/>
      <c r="X24" s="2"/>
      <c r="Y24" s="2"/>
      <c r="Z24" s="2"/>
    </row>
    <row r="25" ht="76.5" customHeight="1">
      <c r="A25" s="1"/>
      <c r="B25" s="10" t="s">
        <v>168</v>
      </c>
      <c r="C25" s="11" t="s">
        <v>169</v>
      </c>
      <c r="D25" s="11" t="s">
        <v>170</v>
      </c>
      <c r="E25" s="11" t="s">
        <v>171</v>
      </c>
      <c r="F25" s="11" t="s">
        <v>20</v>
      </c>
      <c r="G25" s="11" t="s">
        <v>172</v>
      </c>
      <c r="H25" s="11" t="s">
        <v>125</v>
      </c>
      <c r="I25" s="11">
        <v>4.0</v>
      </c>
      <c r="J25" s="12">
        <v>45979.0</v>
      </c>
      <c r="K25" s="11" t="s">
        <v>23</v>
      </c>
      <c r="L25" s="15" t="s">
        <v>42</v>
      </c>
      <c r="M25" s="11" t="s">
        <v>173</v>
      </c>
      <c r="N25" s="11" t="s">
        <v>174</v>
      </c>
      <c r="O25" s="11" t="s">
        <v>175</v>
      </c>
      <c r="P25" s="2"/>
      <c r="Q25" s="2"/>
      <c r="R25" s="2"/>
      <c r="S25" s="2"/>
      <c r="T25" s="2"/>
      <c r="U25" s="2"/>
      <c r="V25" s="2"/>
      <c r="W25" s="2"/>
      <c r="X25" s="2"/>
      <c r="Y25" s="2"/>
      <c r="Z25" s="2"/>
    </row>
    <row r="26" ht="90.75" customHeight="1">
      <c r="A26" s="1"/>
      <c r="B26" s="10" t="s">
        <v>176</v>
      </c>
      <c r="C26" s="19" t="s">
        <v>177</v>
      </c>
      <c r="D26" s="11" t="s">
        <v>178</v>
      </c>
      <c r="E26" s="11" t="s">
        <v>179</v>
      </c>
      <c r="F26" s="11" t="s">
        <v>20</v>
      </c>
      <c r="G26" s="11" t="s">
        <v>180</v>
      </c>
      <c r="H26" s="11" t="s">
        <v>125</v>
      </c>
      <c r="I26" s="11">
        <v>3.0</v>
      </c>
      <c r="J26" s="12">
        <v>45979.0</v>
      </c>
      <c r="K26" s="11" t="s">
        <v>23</v>
      </c>
      <c r="L26" s="15" t="s">
        <v>42</v>
      </c>
      <c r="M26" s="11" t="s">
        <v>181</v>
      </c>
      <c r="N26" s="11" t="s">
        <v>182</v>
      </c>
      <c r="O26" s="11" t="s">
        <v>183</v>
      </c>
      <c r="P26" s="2"/>
      <c r="Q26" s="2"/>
      <c r="R26" s="2"/>
      <c r="S26" s="2"/>
      <c r="T26" s="2"/>
      <c r="U26" s="2"/>
      <c r="V26" s="2"/>
      <c r="W26" s="2"/>
      <c r="X26" s="2"/>
      <c r="Y26" s="2"/>
      <c r="Z26" s="2"/>
    </row>
    <row r="27" ht="81.0" customHeight="1">
      <c r="A27" s="1"/>
      <c r="B27" s="10" t="s">
        <v>184</v>
      </c>
      <c r="C27" s="19" t="s">
        <v>185</v>
      </c>
      <c r="D27" s="11" t="s">
        <v>186</v>
      </c>
      <c r="E27" s="11" t="s">
        <v>187</v>
      </c>
      <c r="F27" s="11" t="s">
        <v>20</v>
      </c>
      <c r="G27" s="11" t="s">
        <v>188</v>
      </c>
      <c r="H27" s="11" t="s">
        <v>125</v>
      </c>
      <c r="I27" s="11">
        <v>3.0</v>
      </c>
      <c r="J27" s="12">
        <v>45979.0</v>
      </c>
      <c r="K27" s="11" t="s">
        <v>23</v>
      </c>
      <c r="L27" s="15" t="s">
        <v>42</v>
      </c>
      <c r="M27" s="19" t="s">
        <v>189</v>
      </c>
      <c r="N27" s="19" t="s">
        <v>190</v>
      </c>
      <c r="O27" s="11" t="s">
        <v>191</v>
      </c>
      <c r="P27" s="2"/>
      <c r="Q27" s="2"/>
      <c r="R27" s="2"/>
      <c r="S27" s="2"/>
      <c r="T27" s="2"/>
      <c r="U27" s="2"/>
      <c r="V27" s="2"/>
      <c r="W27" s="2"/>
      <c r="X27" s="2"/>
      <c r="Y27" s="2"/>
      <c r="Z27" s="2"/>
    </row>
    <row r="28" ht="15.75" customHeight="1">
      <c r="A28" s="1"/>
      <c r="B28" s="10" t="s">
        <v>192</v>
      </c>
      <c r="C28" s="19" t="s">
        <v>193</v>
      </c>
      <c r="D28" s="11" t="s">
        <v>194</v>
      </c>
      <c r="E28" s="19" t="s">
        <v>195</v>
      </c>
      <c r="F28" s="11" t="s">
        <v>20</v>
      </c>
      <c r="G28" s="11" t="s">
        <v>196</v>
      </c>
      <c r="H28" s="11" t="s">
        <v>22</v>
      </c>
      <c r="I28" s="11">
        <v>4.0</v>
      </c>
      <c r="J28" s="12">
        <v>45979.0</v>
      </c>
      <c r="K28" s="11" t="s">
        <v>23</v>
      </c>
      <c r="L28" s="15" t="s">
        <v>42</v>
      </c>
      <c r="M28" s="19" t="s">
        <v>197</v>
      </c>
      <c r="N28" s="19" t="s">
        <v>198</v>
      </c>
      <c r="O28" s="11" t="s">
        <v>199</v>
      </c>
      <c r="P28" s="2"/>
      <c r="Q28" s="2"/>
      <c r="R28" s="2"/>
      <c r="S28" s="2"/>
      <c r="T28" s="2"/>
      <c r="U28" s="2"/>
      <c r="V28" s="2"/>
      <c r="W28" s="2"/>
      <c r="X28" s="2"/>
      <c r="Y28" s="2"/>
      <c r="Z28" s="2"/>
    </row>
    <row r="29" ht="75.75" customHeight="1">
      <c r="A29" s="1"/>
      <c r="B29" s="10" t="s">
        <v>200</v>
      </c>
      <c r="C29" s="11" t="s">
        <v>201</v>
      </c>
      <c r="D29" s="11" t="s">
        <v>202</v>
      </c>
      <c r="E29" s="11" t="s">
        <v>203</v>
      </c>
      <c r="F29" s="11" t="s">
        <v>20</v>
      </c>
      <c r="G29" s="11" t="s">
        <v>204</v>
      </c>
      <c r="H29" s="11" t="s">
        <v>22</v>
      </c>
      <c r="I29" s="11">
        <v>2.0</v>
      </c>
      <c r="J29" s="12">
        <v>45979.0</v>
      </c>
      <c r="K29" s="11" t="s">
        <v>59</v>
      </c>
      <c r="L29" s="15" t="s">
        <v>42</v>
      </c>
      <c r="M29" s="19" t="s">
        <v>205</v>
      </c>
      <c r="N29" s="19" t="s">
        <v>206</v>
      </c>
      <c r="O29" s="11" t="s">
        <v>207</v>
      </c>
      <c r="P29" s="2"/>
      <c r="Q29" s="2"/>
      <c r="R29" s="2"/>
      <c r="S29" s="2"/>
      <c r="T29" s="2"/>
      <c r="U29" s="2"/>
      <c r="V29" s="2"/>
      <c r="W29" s="2"/>
      <c r="X29" s="2"/>
      <c r="Y29" s="2"/>
      <c r="Z29" s="2"/>
    </row>
    <row r="30" ht="75.75" customHeight="1">
      <c r="A30" s="1"/>
      <c r="B30" s="10" t="s">
        <v>208</v>
      </c>
      <c r="C30" s="11" t="s">
        <v>209</v>
      </c>
      <c r="D30" s="11" t="s">
        <v>210</v>
      </c>
      <c r="E30" s="11" t="s">
        <v>211</v>
      </c>
      <c r="F30" s="11" t="s">
        <v>20</v>
      </c>
      <c r="G30" s="16" t="s">
        <v>212</v>
      </c>
      <c r="H30" s="11" t="s">
        <v>22</v>
      </c>
      <c r="I30" s="11">
        <v>3.0</v>
      </c>
      <c r="J30" s="12">
        <v>45979.0</v>
      </c>
      <c r="K30" s="11" t="s">
        <v>59</v>
      </c>
      <c r="L30" s="15" t="s">
        <v>42</v>
      </c>
      <c r="M30" s="13" t="s">
        <v>213</v>
      </c>
      <c r="N30" s="13" t="s">
        <v>214</v>
      </c>
      <c r="O30" s="11" t="s">
        <v>215</v>
      </c>
      <c r="P30" s="2"/>
      <c r="Q30" s="2"/>
      <c r="R30" s="2"/>
      <c r="S30" s="2"/>
      <c r="T30" s="2"/>
      <c r="U30" s="2"/>
      <c r="V30" s="2"/>
      <c r="W30" s="2"/>
      <c r="X30" s="2"/>
      <c r="Y30" s="2"/>
      <c r="Z30" s="2"/>
    </row>
    <row r="31" ht="84.0" customHeight="1">
      <c r="A31" s="2"/>
      <c r="B31" s="10" t="s">
        <v>216</v>
      </c>
      <c r="C31" s="19" t="s">
        <v>217</v>
      </c>
      <c r="D31" s="11" t="s">
        <v>218</v>
      </c>
      <c r="E31" s="19" t="s">
        <v>219</v>
      </c>
      <c r="F31" s="11" t="s">
        <v>20</v>
      </c>
      <c r="G31" s="16" t="s">
        <v>220</v>
      </c>
      <c r="H31" s="11" t="s">
        <v>22</v>
      </c>
      <c r="I31" s="11">
        <v>3.0</v>
      </c>
      <c r="J31" s="12">
        <v>45979.0</v>
      </c>
      <c r="K31" s="11" t="s">
        <v>59</v>
      </c>
      <c r="L31" s="15" t="s">
        <v>42</v>
      </c>
      <c r="M31" s="13" t="s">
        <v>213</v>
      </c>
      <c r="N31" s="13" t="s">
        <v>214</v>
      </c>
      <c r="O31" s="11" t="s">
        <v>221</v>
      </c>
      <c r="P31" s="2"/>
      <c r="Q31" s="2"/>
      <c r="R31" s="2"/>
      <c r="S31" s="2"/>
      <c r="T31" s="2"/>
      <c r="U31" s="2"/>
      <c r="V31" s="2"/>
      <c r="W31" s="2"/>
      <c r="X31" s="2"/>
      <c r="Y31" s="2"/>
      <c r="Z31" s="2"/>
    </row>
    <row r="32" ht="69.0" customHeight="1">
      <c r="A32" s="2"/>
      <c r="B32" s="10" t="s">
        <v>222</v>
      </c>
      <c r="C32" s="11" t="s">
        <v>223</v>
      </c>
      <c r="D32" s="16" t="s">
        <v>224</v>
      </c>
      <c r="E32" s="11" t="s">
        <v>225</v>
      </c>
      <c r="F32" s="11" t="s">
        <v>20</v>
      </c>
      <c r="G32" s="16" t="s">
        <v>220</v>
      </c>
      <c r="H32" s="11" t="s">
        <v>33</v>
      </c>
      <c r="I32" s="11">
        <v>3.0</v>
      </c>
      <c r="J32" s="12">
        <v>45979.0</v>
      </c>
      <c r="K32" s="11" t="s">
        <v>59</v>
      </c>
      <c r="L32" s="15" t="s">
        <v>42</v>
      </c>
      <c r="M32" s="13" t="s">
        <v>213</v>
      </c>
      <c r="N32" s="13" t="s">
        <v>214</v>
      </c>
      <c r="O32" s="11" t="s">
        <v>226</v>
      </c>
      <c r="P32" s="2"/>
      <c r="Q32" s="2"/>
      <c r="R32" s="2"/>
      <c r="S32" s="2"/>
      <c r="T32" s="2"/>
      <c r="U32" s="2"/>
      <c r="V32" s="2"/>
      <c r="W32" s="2"/>
      <c r="X32" s="2"/>
      <c r="Y32" s="2"/>
      <c r="Z32" s="2"/>
    </row>
    <row r="33" ht="19.5" customHeight="1">
      <c r="A33" s="2"/>
      <c r="B33" s="2"/>
      <c r="C33" s="2"/>
      <c r="D33" s="2"/>
      <c r="E33" s="2"/>
      <c r="F33" s="2"/>
      <c r="G33" s="2"/>
      <c r="H33" s="2"/>
      <c r="I33" s="4"/>
      <c r="J33" s="12"/>
      <c r="K33" s="5"/>
      <c r="L33" s="4"/>
      <c r="M33" s="2"/>
      <c r="N33" s="2"/>
      <c r="O33" s="2"/>
      <c r="P33" s="2"/>
      <c r="Q33" s="2"/>
      <c r="R33" s="2"/>
      <c r="S33" s="2"/>
      <c r="T33" s="2"/>
      <c r="U33" s="2"/>
      <c r="V33" s="2"/>
      <c r="W33" s="2"/>
      <c r="X33" s="2"/>
      <c r="Y33" s="2"/>
      <c r="Z33" s="2"/>
    </row>
    <row r="34" ht="19.5" customHeight="1">
      <c r="A34" s="2"/>
      <c r="B34" s="2"/>
      <c r="C34" s="2"/>
      <c r="D34" s="2"/>
      <c r="E34" s="2"/>
      <c r="F34" s="2"/>
      <c r="G34" s="2"/>
      <c r="H34" s="2"/>
      <c r="I34" s="4"/>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4"/>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4"/>
      <c r="J36" s="2"/>
      <c r="K36" s="5" t="s">
        <v>23</v>
      </c>
      <c r="L36" s="5" t="s">
        <v>42</v>
      </c>
      <c r="M36" s="2"/>
      <c r="N36" s="2"/>
      <c r="O36" s="2"/>
      <c r="P36" s="2"/>
      <c r="Q36" s="2"/>
      <c r="R36" s="2"/>
      <c r="S36" s="2"/>
      <c r="T36" s="2"/>
      <c r="U36" s="2"/>
      <c r="V36" s="2"/>
      <c r="W36" s="2"/>
      <c r="X36" s="2"/>
      <c r="Y36" s="2"/>
      <c r="Z36" s="2"/>
    </row>
    <row r="37" ht="19.5" customHeight="1">
      <c r="A37" s="2"/>
      <c r="B37" s="2"/>
      <c r="C37" s="2"/>
      <c r="D37" s="2"/>
      <c r="E37" s="2"/>
      <c r="F37" s="2"/>
      <c r="G37" s="2"/>
      <c r="H37" s="2"/>
      <c r="I37" s="4"/>
      <c r="J37" s="2"/>
      <c r="K37" s="5" t="s">
        <v>59</v>
      </c>
      <c r="L37" s="5" t="s">
        <v>24</v>
      </c>
      <c r="M37" s="2"/>
      <c r="N37" s="2"/>
      <c r="O37" s="2"/>
      <c r="P37" s="2"/>
      <c r="Q37" s="2"/>
      <c r="R37" s="2"/>
      <c r="S37" s="2"/>
      <c r="T37" s="2"/>
      <c r="U37" s="2"/>
      <c r="V37" s="2"/>
      <c r="W37" s="2"/>
      <c r="X37" s="2"/>
      <c r="Y37" s="2"/>
      <c r="Z37" s="2"/>
    </row>
    <row r="38" ht="19.5" customHeight="1">
      <c r="A38" s="2"/>
      <c r="B38" s="2"/>
      <c r="C38" s="2"/>
      <c r="D38" s="2"/>
      <c r="E38" s="2"/>
      <c r="F38" s="2"/>
      <c r="G38" s="2"/>
      <c r="H38" s="2"/>
      <c r="I38" s="4"/>
      <c r="J38" s="2"/>
      <c r="K38" s="5" t="s">
        <v>227</v>
      </c>
      <c r="L38" s="5" t="s">
        <v>228</v>
      </c>
      <c r="M38" s="2"/>
      <c r="N38" s="2"/>
      <c r="O38" s="2"/>
      <c r="P38" s="2"/>
      <c r="Q38" s="2"/>
      <c r="R38" s="2"/>
      <c r="S38" s="2"/>
      <c r="T38" s="2"/>
      <c r="U38" s="2"/>
      <c r="V38" s="2"/>
      <c r="W38" s="2"/>
      <c r="X38" s="2"/>
      <c r="Y38" s="2"/>
      <c r="Z38" s="2"/>
    </row>
    <row r="39" ht="19.5" customHeight="1">
      <c r="A39" s="2"/>
      <c r="B39" s="2"/>
      <c r="C39" s="2"/>
      <c r="D39" s="2"/>
      <c r="E39" s="2"/>
      <c r="F39" s="2"/>
      <c r="G39" s="2"/>
      <c r="H39" s="2"/>
      <c r="I39" s="4"/>
      <c r="J39" s="2"/>
      <c r="K39" s="5"/>
      <c r="L39" s="5" t="s">
        <v>229</v>
      </c>
      <c r="M39" s="2"/>
      <c r="N39" s="2"/>
      <c r="O39" s="2"/>
      <c r="P39" s="2"/>
      <c r="Q39" s="2"/>
      <c r="R39" s="2"/>
      <c r="S39" s="2"/>
      <c r="T39" s="2"/>
      <c r="U39" s="2"/>
      <c r="V39" s="2"/>
      <c r="W39" s="2"/>
      <c r="X39" s="2"/>
      <c r="Y39" s="2"/>
      <c r="Z39" s="2"/>
    </row>
    <row r="40" ht="19.5" customHeight="1">
      <c r="A40" s="2"/>
      <c r="B40" s="2"/>
      <c r="C40" s="2"/>
      <c r="D40" s="2"/>
      <c r="E40" s="2"/>
      <c r="F40" s="2"/>
      <c r="G40" s="2"/>
      <c r="H40" s="2"/>
      <c r="I40" s="4"/>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4"/>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4"/>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4"/>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4"/>
      <c r="J44" s="4"/>
      <c r="K44" s="5"/>
      <c r="L44" s="4"/>
      <c r="M44" s="2"/>
      <c r="N44" s="2"/>
      <c r="O44" s="2"/>
      <c r="P44" s="2"/>
      <c r="Q44" s="2"/>
      <c r="R44" s="2"/>
      <c r="S44" s="2"/>
      <c r="T44" s="2"/>
      <c r="U44" s="2"/>
      <c r="V44" s="2"/>
      <c r="W44" s="2"/>
      <c r="X44" s="2"/>
      <c r="Y44" s="2"/>
      <c r="Z44" s="2"/>
    </row>
    <row r="45" ht="15.75" customHeight="1">
      <c r="A45" s="2"/>
      <c r="B45" s="2"/>
      <c r="C45" s="2"/>
      <c r="D45" s="2"/>
      <c r="E45" s="2"/>
      <c r="F45" s="2"/>
      <c r="G45" s="2"/>
      <c r="H45" s="2"/>
      <c r="I45" s="4"/>
      <c r="J45" s="4"/>
      <c r="K45" s="5"/>
      <c r="L45" s="4"/>
      <c r="M45" s="2"/>
      <c r="N45" s="2"/>
      <c r="O45" s="2"/>
      <c r="P45" s="2"/>
      <c r="Q45" s="2"/>
      <c r="R45" s="2"/>
      <c r="S45" s="2"/>
      <c r="T45" s="2"/>
      <c r="U45" s="2"/>
      <c r="V45" s="2"/>
      <c r="W45" s="2"/>
      <c r="X45" s="2"/>
      <c r="Y45" s="2"/>
      <c r="Z45" s="2"/>
    </row>
    <row r="46" ht="15.75" customHeight="1">
      <c r="A46" s="2"/>
      <c r="B46" s="2"/>
      <c r="C46" s="2"/>
      <c r="D46" s="2"/>
      <c r="E46" s="2"/>
      <c r="F46" s="2"/>
      <c r="G46" s="2"/>
      <c r="H46" s="2"/>
      <c r="I46" s="4"/>
      <c r="J46" s="4"/>
      <c r="K46" s="5"/>
      <c r="L46" s="4"/>
      <c r="M46" s="2"/>
      <c r="N46" s="2"/>
      <c r="O46" s="2"/>
      <c r="P46" s="2"/>
      <c r="Q46" s="2"/>
      <c r="R46" s="2"/>
      <c r="S46" s="2"/>
      <c r="T46" s="2"/>
      <c r="U46" s="2"/>
      <c r="V46" s="2"/>
      <c r="W46" s="2"/>
      <c r="X46" s="2"/>
      <c r="Y46" s="2"/>
      <c r="Z46" s="2"/>
    </row>
    <row r="47" ht="15.75" customHeight="1">
      <c r="A47" s="2"/>
      <c r="B47" s="2"/>
      <c r="C47" s="2"/>
      <c r="D47" s="2"/>
      <c r="E47" s="2"/>
      <c r="F47" s="2"/>
      <c r="G47" s="2"/>
      <c r="H47" s="2"/>
      <c r="I47" s="4"/>
      <c r="J47" s="4"/>
      <c r="K47" s="5"/>
      <c r="L47" s="4"/>
      <c r="M47" s="2"/>
      <c r="N47" s="2"/>
      <c r="O47" s="2"/>
      <c r="P47" s="2"/>
      <c r="Q47" s="2"/>
      <c r="R47" s="2"/>
      <c r="S47" s="2"/>
      <c r="T47" s="2"/>
      <c r="U47" s="2"/>
      <c r="V47" s="2"/>
      <c r="W47" s="2"/>
      <c r="X47" s="2"/>
      <c r="Y47" s="2"/>
      <c r="Z47" s="2"/>
    </row>
    <row r="48" ht="15.75" customHeight="1">
      <c r="A48" s="2"/>
      <c r="B48" s="2"/>
      <c r="C48" s="2"/>
      <c r="D48" s="2"/>
      <c r="E48" s="2"/>
      <c r="F48" s="2"/>
      <c r="G48" s="2"/>
      <c r="H48" s="2"/>
      <c r="I48" s="4"/>
      <c r="J48" s="4"/>
      <c r="K48" s="5"/>
      <c r="L48" s="4"/>
      <c r="M48" s="2"/>
      <c r="N48" s="2"/>
      <c r="O48" s="2"/>
      <c r="P48" s="2"/>
      <c r="Q48" s="2"/>
      <c r="R48" s="2"/>
      <c r="S48" s="2"/>
      <c r="T48" s="2"/>
      <c r="U48" s="2"/>
      <c r="V48" s="2"/>
      <c r="W48" s="2"/>
      <c r="X48" s="2"/>
      <c r="Y48" s="2"/>
      <c r="Z48" s="2"/>
    </row>
    <row r="49" ht="15.75" customHeight="1">
      <c r="A49" s="2"/>
      <c r="B49" s="2"/>
      <c r="C49" s="2"/>
      <c r="D49" s="2"/>
      <c r="E49" s="2"/>
      <c r="F49" s="2"/>
      <c r="G49" s="2"/>
      <c r="H49" s="2"/>
      <c r="I49" s="4"/>
      <c r="J49" s="4"/>
      <c r="K49" s="5"/>
      <c r="L49" s="4"/>
      <c r="M49" s="2"/>
      <c r="N49" s="2"/>
      <c r="O49" s="2"/>
      <c r="P49" s="2"/>
      <c r="Q49" s="2"/>
      <c r="R49" s="2"/>
      <c r="S49" s="2"/>
      <c r="T49" s="2"/>
      <c r="U49" s="2"/>
      <c r="V49" s="2"/>
      <c r="W49" s="2"/>
      <c r="X49" s="2"/>
      <c r="Y49" s="2"/>
      <c r="Z49" s="2"/>
    </row>
    <row r="50" ht="15.75" customHeight="1">
      <c r="A50" s="2"/>
      <c r="B50" s="2"/>
      <c r="C50" s="2"/>
      <c r="D50" s="2"/>
      <c r="E50" s="2"/>
      <c r="F50" s="2"/>
      <c r="G50" s="2"/>
      <c r="H50" s="2"/>
      <c r="I50" s="4"/>
      <c r="J50" s="4"/>
      <c r="K50" s="5"/>
      <c r="L50" s="4"/>
      <c r="M50" s="2"/>
      <c r="N50" s="2"/>
      <c r="O50" s="2"/>
      <c r="P50" s="2"/>
      <c r="Q50" s="2"/>
      <c r="R50" s="2"/>
      <c r="S50" s="2"/>
      <c r="T50" s="2"/>
      <c r="U50" s="2"/>
      <c r="V50" s="2"/>
      <c r="W50" s="2"/>
      <c r="X50" s="2"/>
      <c r="Y50" s="2"/>
      <c r="Z50" s="2"/>
    </row>
    <row r="51" ht="15.75" customHeight="1">
      <c r="A51" s="2"/>
      <c r="B51" s="2"/>
      <c r="C51" s="2"/>
      <c r="D51" s="2"/>
      <c r="E51" s="2"/>
      <c r="F51" s="2"/>
      <c r="G51" s="2"/>
      <c r="H51" s="2"/>
      <c r="I51" s="4"/>
      <c r="J51" s="4"/>
      <c r="K51" s="5"/>
      <c r="L51" s="4"/>
      <c r="M51" s="2"/>
      <c r="N51" s="2"/>
      <c r="O51" s="2"/>
      <c r="P51" s="2"/>
      <c r="Q51" s="2"/>
      <c r="R51" s="2"/>
      <c r="S51" s="2"/>
      <c r="T51" s="2"/>
      <c r="U51" s="2"/>
      <c r="V51" s="2"/>
      <c r="W51" s="2"/>
      <c r="X51" s="2"/>
      <c r="Y51" s="2"/>
      <c r="Z51" s="2"/>
    </row>
    <row r="52" ht="15.75" customHeight="1">
      <c r="A52" s="2"/>
      <c r="B52" s="2"/>
      <c r="C52" s="2"/>
      <c r="D52" s="2"/>
      <c r="E52" s="2"/>
      <c r="F52" s="2"/>
      <c r="G52" s="2"/>
      <c r="H52" s="2"/>
      <c r="I52" s="4"/>
      <c r="J52" s="4"/>
      <c r="K52" s="5"/>
      <c r="L52" s="4"/>
      <c r="M52" s="2"/>
      <c r="N52" s="2"/>
      <c r="O52" s="2"/>
      <c r="P52" s="2"/>
      <c r="Q52" s="2"/>
      <c r="R52" s="2"/>
      <c r="S52" s="2"/>
      <c r="T52" s="2"/>
      <c r="U52" s="2"/>
      <c r="V52" s="2"/>
      <c r="W52" s="2"/>
      <c r="X52" s="2"/>
      <c r="Y52" s="2"/>
      <c r="Z52" s="2"/>
    </row>
    <row r="53" ht="15.75" customHeight="1">
      <c r="A53" s="2"/>
      <c r="B53" s="2"/>
      <c r="C53" s="2"/>
      <c r="D53" s="2"/>
      <c r="E53" s="2"/>
      <c r="F53" s="2"/>
      <c r="G53" s="2"/>
      <c r="H53" s="2"/>
      <c r="I53" s="4"/>
      <c r="J53" s="4"/>
      <c r="K53" s="5"/>
      <c r="L53" s="4"/>
      <c r="M53" s="2"/>
      <c r="N53" s="2"/>
      <c r="O53" s="2"/>
      <c r="P53" s="2"/>
      <c r="Q53" s="2"/>
      <c r="R53" s="2"/>
      <c r="S53" s="2"/>
      <c r="T53" s="2"/>
      <c r="U53" s="2"/>
      <c r="V53" s="2"/>
      <c r="W53" s="2"/>
      <c r="X53" s="2"/>
      <c r="Y53" s="2"/>
      <c r="Z53" s="2"/>
    </row>
    <row r="54" ht="15.75" customHeight="1">
      <c r="A54" s="2"/>
      <c r="B54" s="2"/>
      <c r="C54" s="2"/>
      <c r="D54" s="2"/>
      <c r="E54" s="2"/>
      <c r="F54" s="2"/>
      <c r="G54" s="2"/>
      <c r="H54" s="2"/>
      <c r="I54" s="4"/>
      <c r="J54" s="4"/>
      <c r="K54" s="5"/>
      <c r="L54" s="4"/>
      <c r="M54" s="2"/>
      <c r="N54" s="2"/>
      <c r="O54" s="2"/>
      <c r="P54" s="2"/>
      <c r="Q54" s="2"/>
      <c r="R54" s="2"/>
      <c r="S54" s="2"/>
      <c r="T54" s="2"/>
      <c r="U54" s="2"/>
      <c r="V54" s="2"/>
      <c r="W54" s="2"/>
      <c r="X54" s="2"/>
      <c r="Y54" s="2"/>
      <c r="Z54" s="2"/>
    </row>
    <row r="55" ht="15.75" customHeight="1">
      <c r="A55" s="2"/>
      <c r="B55" s="2"/>
      <c r="C55" s="2"/>
      <c r="D55" s="2"/>
      <c r="E55" s="2"/>
      <c r="F55" s="2"/>
      <c r="G55" s="2"/>
      <c r="H55" s="2"/>
      <c r="I55" s="4"/>
      <c r="J55" s="4"/>
      <c r="K55" s="5"/>
      <c r="L55" s="4"/>
      <c r="M55" s="2"/>
      <c r="N55" s="2"/>
      <c r="O55" s="2"/>
      <c r="P55" s="2"/>
      <c r="Q55" s="2"/>
      <c r="R55" s="2"/>
      <c r="S55" s="2"/>
      <c r="T55" s="2"/>
      <c r="U55" s="2"/>
      <c r="V55" s="2"/>
      <c r="W55" s="2"/>
      <c r="X55" s="2"/>
      <c r="Y55" s="2"/>
      <c r="Z55" s="2"/>
    </row>
    <row r="56" ht="15.75" customHeight="1">
      <c r="A56" s="2"/>
      <c r="B56" s="2"/>
      <c r="C56" s="2"/>
      <c r="D56" s="2"/>
      <c r="E56" s="2"/>
      <c r="F56" s="2"/>
      <c r="G56" s="2"/>
      <c r="H56" s="2"/>
      <c r="I56" s="4"/>
      <c r="J56" s="4"/>
      <c r="K56" s="5"/>
      <c r="L56" s="4"/>
      <c r="M56" s="2"/>
      <c r="N56" s="2"/>
      <c r="O56" s="2"/>
      <c r="P56" s="2"/>
      <c r="Q56" s="2"/>
      <c r="R56" s="2"/>
      <c r="S56" s="2"/>
      <c r="T56" s="2"/>
      <c r="U56" s="2"/>
      <c r="V56" s="2"/>
      <c r="W56" s="2"/>
      <c r="X56" s="2"/>
      <c r="Y56" s="2"/>
      <c r="Z56" s="2"/>
    </row>
    <row r="57" ht="15.75" customHeight="1">
      <c r="A57" s="2"/>
      <c r="B57" s="2"/>
      <c r="C57" s="2"/>
      <c r="D57" s="2"/>
      <c r="E57" s="2"/>
      <c r="F57" s="2"/>
      <c r="G57" s="2"/>
      <c r="H57" s="2"/>
      <c r="I57" s="4"/>
      <c r="J57" s="4"/>
      <c r="K57" s="5"/>
      <c r="L57" s="4"/>
      <c r="M57" s="2"/>
      <c r="N57" s="2"/>
      <c r="O57" s="2"/>
      <c r="P57" s="2"/>
      <c r="Q57" s="2"/>
      <c r="R57" s="2"/>
      <c r="S57" s="2"/>
      <c r="T57" s="2"/>
      <c r="U57" s="2"/>
      <c r="V57" s="2"/>
      <c r="W57" s="2"/>
      <c r="X57" s="2"/>
      <c r="Y57" s="2"/>
      <c r="Z57" s="2"/>
    </row>
    <row r="58" ht="15.75" customHeight="1">
      <c r="A58" s="2"/>
      <c r="B58" s="2"/>
      <c r="C58" s="2"/>
      <c r="D58" s="2"/>
      <c r="E58" s="2"/>
      <c r="F58" s="2"/>
      <c r="G58" s="2"/>
      <c r="H58" s="2"/>
      <c r="I58" s="4"/>
      <c r="J58" s="4"/>
      <c r="K58" s="5"/>
      <c r="L58" s="4"/>
      <c r="M58" s="2"/>
      <c r="N58" s="2"/>
      <c r="O58" s="2"/>
      <c r="P58" s="2"/>
      <c r="Q58" s="2"/>
      <c r="R58" s="2"/>
      <c r="S58" s="2"/>
      <c r="T58" s="2"/>
      <c r="U58" s="2"/>
      <c r="V58" s="2"/>
      <c r="W58" s="2"/>
      <c r="X58" s="2"/>
      <c r="Y58" s="2"/>
      <c r="Z58" s="2"/>
    </row>
    <row r="59" ht="15.75" customHeight="1">
      <c r="A59" s="2"/>
      <c r="B59" s="2"/>
      <c r="C59" s="2"/>
      <c r="D59" s="2"/>
      <c r="E59" s="2"/>
      <c r="F59" s="2"/>
      <c r="G59" s="2"/>
      <c r="H59" s="2"/>
      <c r="I59" s="4"/>
      <c r="J59" s="4"/>
      <c r="K59" s="5"/>
      <c r="L59" s="4"/>
      <c r="M59" s="2"/>
      <c r="N59" s="2"/>
      <c r="O59" s="2"/>
      <c r="P59" s="2"/>
      <c r="Q59" s="2"/>
      <c r="R59" s="2"/>
      <c r="S59" s="2"/>
      <c r="T59" s="2"/>
      <c r="U59" s="2"/>
      <c r="V59" s="2"/>
      <c r="W59" s="2"/>
      <c r="X59" s="2"/>
      <c r="Y59" s="2"/>
      <c r="Z59" s="2"/>
    </row>
    <row r="60" ht="15.75" customHeight="1">
      <c r="A60" s="2"/>
      <c r="B60" s="2"/>
      <c r="C60" s="2"/>
      <c r="D60" s="2"/>
      <c r="E60" s="2"/>
      <c r="F60" s="2"/>
      <c r="G60" s="2"/>
      <c r="H60" s="2"/>
      <c r="I60" s="4"/>
      <c r="J60" s="4"/>
      <c r="K60" s="5"/>
      <c r="L60" s="4"/>
      <c r="M60" s="2"/>
      <c r="N60" s="2"/>
      <c r="O60" s="2"/>
      <c r="P60" s="2"/>
      <c r="Q60" s="2"/>
      <c r="R60" s="2"/>
      <c r="S60" s="2"/>
      <c r="T60" s="2"/>
      <c r="U60" s="2"/>
      <c r="V60" s="2"/>
      <c r="W60" s="2"/>
      <c r="X60" s="2"/>
      <c r="Y60" s="2"/>
      <c r="Z60" s="2"/>
    </row>
    <row r="61" ht="15.75" customHeight="1">
      <c r="A61" s="2"/>
      <c r="B61" s="2"/>
      <c r="C61" s="2"/>
      <c r="D61" s="2"/>
      <c r="E61" s="2"/>
      <c r="F61" s="2"/>
      <c r="G61" s="2"/>
      <c r="H61" s="2"/>
      <c r="I61" s="4"/>
      <c r="J61" s="4"/>
      <c r="K61" s="5"/>
      <c r="L61" s="4"/>
      <c r="M61" s="2"/>
      <c r="N61" s="2"/>
      <c r="O61" s="2"/>
      <c r="P61" s="2"/>
      <c r="Q61" s="2"/>
      <c r="R61" s="2"/>
      <c r="S61" s="2"/>
      <c r="T61" s="2"/>
      <c r="U61" s="2"/>
      <c r="V61" s="2"/>
      <c r="W61" s="2"/>
      <c r="X61" s="2"/>
      <c r="Y61" s="2"/>
      <c r="Z61" s="2"/>
    </row>
    <row r="62" ht="15.75" customHeight="1">
      <c r="A62" s="2"/>
      <c r="B62" s="2"/>
      <c r="C62" s="2"/>
      <c r="D62" s="2"/>
      <c r="E62" s="2"/>
      <c r="F62" s="2"/>
      <c r="G62" s="2"/>
      <c r="H62" s="2"/>
      <c r="I62" s="4"/>
      <c r="J62" s="4"/>
      <c r="K62" s="5"/>
      <c r="L62" s="4"/>
      <c r="M62" s="2"/>
      <c r="N62" s="2"/>
      <c r="O62" s="2"/>
      <c r="P62" s="2"/>
      <c r="Q62" s="2"/>
      <c r="R62" s="2"/>
      <c r="S62" s="2"/>
      <c r="T62" s="2"/>
      <c r="U62" s="2"/>
      <c r="V62" s="2"/>
      <c r="W62" s="2"/>
      <c r="X62" s="2"/>
      <c r="Y62" s="2"/>
      <c r="Z62" s="2"/>
    </row>
    <row r="63" ht="15.75" customHeight="1">
      <c r="A63" s="2"/>
      <c r="B63" s="2"/>
      <c r="C63" s="2"/>
      <c r="D63" s="2"/>
      <c r="E63" s="2"/>
      <c r="F63" s="2"/>
      <c r="G63" s="2"/>
      <c r="H63" s="2"/>
      <c r="I63" s="4"/>
      <c r="J63" s="4"/>
      <c r="K63" s="5"/>
      <c r="L63" s="4"/>
      <c r="M63" s="2"/>
      <c r="N63" s="2"/>
      <c r="O63" s="2"/>
      <c r="P63" s="2"/>
      <c r="Q63" s="2"/>
      <c r="R63" s="2"/>
      <c r="S63" s="2"/>
      <c r="T63" s="2"/>
      <c r="U63" s="2"/>
      <c r="V63" s="2"/>
      <c r="W63" s="2"/>
      <c r="X63" s="2"/>
      <c r="Y63" s="2"/>
      <c r="Z63" s="2"/>
    </row>
    <row r="64" ht="15.75" customHeight="1">
      <c r="A64" s="2"/>
      <c r="B64" s="2"/>
      <c r="C64" s="2"/>
      <c r="D64" s="2"/>
      <c r="E64" s="2"/>
      <c r="F64" s="2"/>
      <c r="G64" s="2"/>
      <c r="H64" s="2"/>
      <c r="I64" s="4"/>
      <c r="J64" s="4"/>
      <c r="K64" s="5"/>
      <c r="L64" s="4"/>
      <c r="M64" s="2"/>
      <c r="N64" s="2"/>
      <c r="O64" s="2"/>
      <c r="P64" s="2"/>
      <c r="Q64" s="2"/>
      <c r="R64" s="2"/>
      <c r="S64" s="2"/>
      <c r="T64" s="2"/>
      <c r="U64" s="2"/>
      <c r="V64" s="2"/>
      <c r="W64" s="2"/>
      <c r="X64" s="2"/>
      <c r="Y64" s="2"/>
      <c r="Z64" s="2"/>
    </row>
    <row r="65" ht="15.75" customHeight="1">
      <c r="A65" s="2"/>
      <c r="B65" s="2"/>
      <c r="C65" s="2"/>
      <c r="D65" s="2"/>
      <c r="E65" s="2"/>
      <c r="F65" s="2"/>
      <c r="G65" s="2"/>
      <c r="H65" s="2"/>
      <c r="I65" s="4"/>
      <c r="J65" s="4"/>
      <c r="K65" s="5"/>
      <c r="L65" s="4"/>
      <c r="M65" s="2"/>
      <c r="N65" s="2"/>
      <c r="O65" s="2"/>
      <c r="P65" s="2"/>
      <c r="Q65" s="2"/>
      <c r="R65" s="2"/>
      <c r="S65" s="2"/>
      <c r="T65" s="2"/>
      <c r="U65" s="2"/>
      <c r="V65" s="2"/>
      <c r="W65" s="2"/>
      <c r="X65" s="2"/>
      <c r="Y65" s="2"/>
      <c r="Z65" s="2"/>
    </row>
    <row r="66" ht="15.75" customHeight="1">
      <c r="A66" s="2"/>
      <c r="B66" s="2"/>
      <c r="C66" s="2"/>
      <c r="D66" s="2"/>
      <c r="E66" s="2"/>
      <c r="F66" s="2"/>
      <c r="G66" s="2"/>
      <c r="H66" s="2"/>
      <c r="I66" s="4"/>
      <c r="J66" s="4"/>
      <c r="K66" s="5"/>
      <c r="L66" s="4"/>
      <c r="M66" s="2"/>
      <c r="N66" s="2"/>
      <c r="O66" s="2"/>
      <c r="P66" s="2"/>
      <c r="Q66" s="2"/>
      <c r="R66" s="2"/>
      <c r="S66" s="2"/>
      <c r="T66" s="2"/>
      <c r="U66" s="2"/>
      <c r="V66" s="2"/>
      <c r="W66" s="2"/>
      <c r="X66" s="2"/>
      <c r="Y66" s="2"/>
      <c r="Z66" s="2"/>
    </row>
    <row r="67" ht="15.75" customHeight="1">
      <c r="A67" s="2"/>
      <c r="B67" s="2"/>
      <c r="C67" s="2"/>
      <c r="D67" s="2"/>
      <c r="E67" s="2"/>
      <c r="F67" s="2"/>
      <c r="G67" s="2"/>
      <c r="H67" s="2"/>
      <c r="I67" s="4"/>
      <c r="J67" s="4"/>
      <c r="K67" s="5"/>
      <c r="L67" s="4"/>
      <c r="M67" s="2"/>
      <c r="N67" s="2"/>
      <c r="O67" s="2"/>
      <c r="P67" s="2"/>
      <c r="Q67" s="2"/>
      <c r="R67" s="2"/>
      <c r="S67" s="2"/>
      <c r="T67" s="2"/>
      <c r="U67" s="2"/>
      <c r="V67" s="2"/>
      <c r="W67" s="2"/>
      <c r="X67" s="2"/>
      <c r="Y67" s="2"/>
      <c r="Z67" s="2"/>
    </row>
    <row r="68" ht="15.75" customHeight="1">
      <c r="A68" s="2"/>
      <c r="B68" s="2"/>
      <c r="C68" s="2"/>
      <c r="D68" s="2"/>
      <c r="E68" s="2"/>
      <c r="F68" s="2"/>
      <c r="G68" s="2"/>
      <c r="H68" s="2"/>
      <c r="I68" s="4"/>
      <c r="J68" s="4"/>
      <c r="K68" s="5"/>
      <c r="L68" s="4"/>
      <c r="M68" s="2"/>
      <c r="N68" s="2"/>
      <c r="O68" s="2"/>
      <c r="P68" s="2"/>
      <c r="Q68" s="2"/>
      <c r="R68" s="2"/>
      <c r="S68" s="2"/>
      <c r="T68" s="2"/>
      <c r="U68" s="2"/>
      <c r="V68" s="2"/>
      <c r="W68" s="2"/>
      <c r="X68" s="2"/>
      <c r="Y68" s="2"/>
      <c r="Z68" s="2"/>
    </row>
    <row r="69" ht="15.75" customHeight="1">
      <c r="A69" s="2"/>
      <c r="B69" s="2"/>
      <c r="C69" s="2"/>
      <c r="D69" s="2"/>
      <c r="E69" s="2"/>
      <c r="F69" s="2"/>
      <c r="G69" s="2"/>
      <c r="H69" s="2"/>
      <c r="I69" s="4"/>
      <c r="J69" s="4"/>
      <c r="K69" s="5"/>
      <c r="L69" s="4"/>
      <c r="M69" s="2"/>
      <c r="N69" s="2"/>
      <c r="O69" s="2"/>
      <c r="P69" s="2"/>
      <c r="Q69" s="2"/>
      <c r="R69" s="2"/>
      <c r="S69" s="2"/>
      <c r="T69" s="2"/>
      <c r="U69" s="2"/>
      <c r="V69" s="2"/>
      <c r="W69" s="2"/>
      <c r="X69" s="2"/>
      <c r="Y69" s="2"/>
      <c r="Z69" s="2"/>
    </row>
    <row r="70" ht="15.75" customHeight="1">
      <c r="A70" s="2"/>
      <c r="B70" s="2"/>
      <c r="C70" s="2"/>
      <c r="D70" s="2"/>
      <c r="E70" s="2"/>
      <c r="F70" s="2"/>
      <c r="G70" s="2"/>
      <c r="H70" s="2"/>
      <c r="I70" s="4"/>
      <c r="J70" s="4"/>
      <c r="K70" s="5"/>
      <c r="L70" s="4"/>
      <c r="M70" s="2"/>
      <c r="N70" s="2"/>
      <c r="O70" s="2"/>
      <c r="P70" s="2"/>
      <c r="Q70" s="2"/>
      <c r="R70" s="2"/>
      <c r="S70" s="2"/>
      <c r="T70" s="2"/>
      <c r="U70" s="2"/>
      <c r="V70" s="2"/>
      <c r="W70" s="2"/>
      <c r="X70" s="2"/>
      <c r="Y70" s="2"/>
      <c r="Z70" s="2"/>
    </row>
    <row r="71" ht="15.75" customHeight="1">
      <c r="A71" s="2"/>
      <c r="B71" s="2"/>
      <c r="C71" s="2"/>
      <c r="D71" s="2"/>
      <c r="E71" s="2"/>
      <c r="F71" s="2"/>
      <c r="G71" s="2"/>
      <c r="H71" s="2"/>
      <c r="I71" s="4"/>
      <c r="J71" s="4"/>
      <c r="K71" s="5"/>
      <c r="L71" s="4"/>
      <c r="M71" s="2"/>
      <c r="N71" s="2"/>
      <c r="O71" s="2"/>
      <c r="P71" s="2"/>
      <c r="Q71" s="2"/>
      <c r="R71" s="2"/>
      <c r="S71" s="2"/>
      <c r="T71" s="2"/>
      <c r="U71" s="2"/>
      <c r="V71" s="2"/>
      <c r="W71" s="2"/>
      <c r="X71" s="2"/>
      <c r="Y71" s="2"/>
      <c r="Z71" s="2"/>
    </row>
    <row r="72" ht="15.75" customHeight="1">
      <c r="A72" s="2"/>
      <c r="B72" s="2"/>
      <c r="C72" s="2"/>
      <c r="D72" s="2"/>
      <c r="E72" s="2"/>
      <c r="F72" s="2"/>
      <c r="G72" s="2"/>
      <c r="H72" s="2"/>
      <c r="I72" s="4"/>
      <c r="J72" s="4"/>
      <c r="K72" s="5"/>
      <c r="L72" s="4"/>
      <c r="M72" s="2"/>
      <c r="N72" s="2"/>
      <c r="O72" s="2"/>
      <c r="P72" s="2"/>
      <c r="Q72" s="2"/>
      <c r="R72" s="2"/>
      <c r="S72" s="2"/>
      <c r="T72" s="2"/>
      <c r="U72" s="2"/>
      <c r="V72" s="2"/>
      <c r="W72" s="2"/>
      <c r="X72" s="2"/>
      <c r="Y72" s="2"/>
      <c r="Z72" s="2"/>
    </row>
    <row r="73" ht="15.75" customHeight="1">
      <c r="A73" s="2"/>
      <c r="B73" s="2"/>
      <c r="C73" s="2"/>
      <c r="D73" s="2"/>
      <c r="E73" s="2"/>
      <c r="F73" s="2"/>
      <c r="G73" s="2"/>
      <c r="H73" s="2"/>
      <c r="I73" s="4"/>
      <c r="J73" s="4"/>
      <c r="K73" s="5"/>
      <c r="L73" s="4"/>
      <c r="M73" s="2"/>
      <c r="N73" s="2"/>
      <c r="O73" s="2"/>
      <c r="P73" s="2"/>
      <c r="Q73" s="2"/>
      <c r="R73" s="2"/>
      <c r="S73" s="2"/>
      <c r="T73" s="2"/>
      <c r="U73" s="2"/>
      <c r="V73" s="2"/>
      <c r="W73" s="2"/>
      <c r="X73" s="2"/>
      <c r="Y73" s="2"/>
      <c r="Z73" s="2"/>
    </row>
    <row r="74" ht="15.75" customHeight="1">
      <c r="A74" s="2"/>
      <c r="B74" s="2"/>
      <c r="C74" s="2"/>
      <c r="D74" s="2"/>
      <c r="E74" s="2"/>
      <c r="F74" s="2"/>
      <c r="G74" s="2"/>
      <c r="H74" s="2"/>
      <c r="I74" s="4"/>
      <c r="J74" s="4"/>
      <c r="K74" s="5"/>
      <c r="L74" s="4"/>
      <c r="M74" s="2"/>
      <c r="N74" s="2"/>
      <c r="O74" s="2"/>
      <c r="P74" s="2"/>
      <c r="Q74" s="2"/>
      <c r="R74" s="2"/>
      <c r="S74" s="2"/>
      <c r="T74" s="2"/>
      <c r="U74" s="2"/>
      <c r="V74" s="2"/>
      <c r="W74" s="2"/>
      <c r="X74" s="2"/>
      <c r="Y74" s="2"/>
      <c r="Z74" s="2"/>
    </row>
    <row r="75" ht="15.75" customHeight="1">
      <c r="A75" s="2"/>
      <c r="B75" s="2"/>
      <c r="C75" s="2"/>
      <c r="D75" s="2"/>
      <c r="E75" s="2"/>
      <c r="F75" s="2"/>
      <c r="G75" s="2"/>
      <c r="H75" s="2"/>
      <c r="I75" s="4"/>
      <c r="J75" s="4"/>
      <c r="K75" s="5"/>
      <c r="L75" s="4"/>
      <c r="M75" s="2"/>
      <c r="N75" s="2"/>
      <c r="O75" s="2"/>
      <c r="P75" s="2"/>
      <c r="Q75" s="2"/>
      <c r="R75" s="2"/>
      <c r="S75" s="2"/>
      <c r="T75" s="2"/>
      <c r="U75" s="2"/>
      <c r="V75" s="2"/>
      <c r="W75" s="2"/>
      <c r="X75" s="2"/>
      <c r="Y75" s="2"/>
      <c r="Z75" s="2"/>
    </row>
    <row r="76" ht="15.75" customHeight="1">
      <c r="A76" s="2"/>
      <c r="B76" s="2"/>
      <c r="C76" s="2"/>
      <c r="D76" s="2"/>
      <c r="E76" s="2"/>
      <c r="F76" s="2"/>
      <c r="G76" s="2"/>
      <c r="H76" s="2"/>
      <c r="I76" s="4"/>
      <c r="J76" s="4"/>
      <c r="K76" s="5"/>
      <c r="L76" s="4"/>
      <c r="M76" s="2"/>
      <c r="N76" s="2"/>
      <c r="O76" s="2"/>
      <c r="P76" s="2"/>
      <c r="Q76" s="2"/>
      <c r="R76" s="2"/>
      <c r="S76" s="2"/>
      <c r="T76" s="2"/>
      <c r="U76" s="2"/>
      <c r="V76" s="2"/>
      <c r="W76" s="2"/>
      <c r="X76" s="2"/>
      <c r="Y76" s="2"/>
      <c r="Z76" s="2"/>
    </row>
    <row r="77" ht="15.75" customHeight="1">
      <c r="A77" s="2"/>
      <c r="B77" s="2"/>
      <c r="C77" s="2"/>
      <c r="D77" s="2"/>
      <c r="E77" s="2"/>
      <c r="F77" s="2"/>
      <c r="G77" s="2"/>
      <c r="H77" s="2"/>
      <c r="I77" s="4"/>
      <c r="J77" s="4"/>
      <c r="K77" s="5"/>
      <c r="L77" s="4"/>
      <c r="M77" s="2"/>
      <c r="N77" s="2"/>
      <c r="O77" s="2"/>
      <c r="P77" s="2"/>
      <c r="Q77" s="2"/>
      <c r="R77" s="2"/>
      <c r="S77" s="2"/>
      <c r="T77" s="2"/>
      <c r="U77" s="2"/>
      <c r="V77" s="2"/>
      <c r="W77" s="2"/>
      <c r="X77" s="2"/>
      <c r="Y77" s="2"/>
      <c r="Z77" s="2"/>
    </row>
    <row r="78" ht="15.75" customHeight="1">
      <c r="A78" s="2"/>
      <c r="B78" s="2"/>
      <c r="C78" s="2"/>
      <c r="D78" s="2"/>
      <c r="E78" s="2"/>
      <c r="F78" s="2"/>
      <c r="G78" s="2"/>
      <c r="H78" s="2"/>
      <c r="I78" s="4"/>
      <c r="J78" s="4"/>
      <c r="K78" s="5"/>
      <c r="L78" s="4"/>
      <c r="M78" s="2"/>
      <c r="N78" s="2"/>
      <c r="O78" s="2"/>
      <c r="P78" s="2"/>
      <c r="Q78" s="2"/>
      <c r="R78" s="2"/>
      <c r="S78" s="2"/>
      <c r="T78" s="2"/>
      <c r="U78" s="2"/>
      <c r="V78" s="2"/>
      <c r="W78" s="2"/>
      <c r="X78" s="2"/>
      <c r="Y78" s="2"/>
      <c r="Z78" s="2"/>
    </row>
    <row r="79" ht="15.75" customHeight="1">
      <c r="A79" s="2"/>
      <c r="B79" s="2"/>
      <c r="C79" s="2"/>
      <c r="D79" s="2"/>
      <c r="E79" s="2"/>
      <c r="F79" s="2"/>
      <c r="G79" s="2"/>
      <c r="H79" s="2"/>
      <c r="I79" s="4"/>
      <c r="J79" s="4"/>
      <c r="K79" s="5"/>
      <c r="L79" s="4"/>
      <c r="M79" s="2"/>
      <c r="N79" s="2"/>
      <c r="O79" s="2"/>
      <c r="P79" s="2"/>
      <c r="Q79" s="2"/>
      <c r="R79" s="2"/>
      <c r="S79" s="2"/>
      <c r="T79" s="2"/>
      <c r="U79" s="2"/>
      <c r="V79" s="2"/>
      <c r="W79" s="2"/>
      <c r="X79" s="2"/>
      <c r="Y79" s="2"/>
      <c r="Z79" s="2"/>
    </row>
    <row r="80" ht="15.75" customHeight="1">
      <c r="A80" s="2"/>
      <c r="B80" s="2"/>
      <c r="C80" s="2"/>
      <c r="D80" s="2"/>
      <c r="E80" s="2"/>
      <c r="F80" s="2"/>
      <c r="G80" s="2"/>
      <c r="H80" s="2"/>
      <c r="I80" s="4"/>
      <c r="J80" s="4"/>
      <c r="K80" s="5"/>
      <c r="L80" s="4"/>
      <c r="M80" s="2"/>
      <c r="N80" s="2"/>
      <c r="O80" s="2"/>
      <c r="P80" s="2"/>
      <c r="Q80" s="2"/>
      <c r="R80" s="2"/>
      <c r="S80" s="2"/>
      <c r="T80" s="2"/>
      <c r="U80" s="2"/>
      <c r="V80" s="2"/>
      <c r="W80" s="2"/>
      <c r="X80" s="2"/>
      <c r="Y80" s="2"/>
      <c r="Z80" s="2"/>
    </row>
    <row r="81" ht="15.75" customHeight="1">
      <c r="A81" s="2"/>
      <c r="B81" s="2"/>
      <c r="C81" s="2"/>
      <c r="D81" s="2"/>
      <c r="E81" s="2"/>
      <c r="F81" s="2"/>
      <c r="G81" s="2"/>
      <c r="H81" s="2"/>
      <c r="I81" s="4"/>
      <c r="J81" s="4"/>
      <c r="K81" s="5"/>
      <c r="L81" s="4"/>
      <c r="M81" s="2"/>
      <c r="N81" s="2"/>
      <c r="O81" s="2"/>
      <c r="P81" s="2"/>
      <c r="Q81" s="2"/>
      <c r="R81" s="2"/>
      <c r="S81" s="2"/>
      <c r="T81" s="2"/>
      <c r="U81" s="2"/>
      <c r="V81" s="2"/>
      <c r="W81" s="2"/>
      <c r="X81" s="2"/>
      <c r="Y81" s="2"/>
      <c r="Z81" s="2"/>
    </row>
    <row r="82" ht="15.75" customHeight="1">
      <c r="A82" s="2"/>
      <c r="B82" s="2"/>
      <c r="C82" s="2"/>
      <c r="D82" s="2"/>
      <c r="E82" s="2"/>
      <c r="F82" s="2"/>
      <c r="G82" s="2"/>
      <c r="H82" s="2"/>
      <c r="I82" s="4"/>
      <c r="J82" s="4"/>
      <c r="K82" s="5"/>
      <c r="L82" s="4"/>
      <c r="M82" s="2"/>
      <c r="N82" s="2"/>
      <c r="O82" s="2"/>
      <c r="P82" s="2"/>
      <c r="Q82" s="2"/>
      <c r="R82" s="2"/>
      <c r="S82" s="2"/>
      <c r="T82" s="2"/>
      <c r="U82" s="2"/>
      <c r="V82" s="2"/>
      <c r="W82" s="2"/>
      <c r="X82" s="2"/>
      <c r="Y82" s="2"/>
      <c r="Z82" s="2"/>
    </row>
    <row r="83" ht="15.75" customHeight="1">
      <c r="A83" s="2"/>
      <c r="B83" s="2"/>
      <c r="C83" s="2"/>
      <c r="D83" s="2"/>
      <c r="E83" s="2"/>
      <c r="F83" s="2"/>
      <c r="G83" s="2"/>
      <c r="H83" s="2"/>
      <c r="I83" s="4"/>
      <c r="J83" s="4"/>
      <c r="K83" s="5"/>
      <c r="L83" s="4"/>
      <c r="M83" s="2"/>
      <c r="N83" s="2"/>
      <c r="O83" s="2"/>
      <c r="P83" s="2"/>
      <c r="Q83" s="2"/>
      <c r="R83" s="2"/>
      <c r="S83" s="2"/>
      <c r="T83" s="2"/>
      <c r="U83" s="2"/>
      <c r="V83" s="2"/>
      <c r="W83" s="2"/>
      <c r="X83" s="2"/>
      <c r="Y83" s="2"/>
      <c r="Z83" s="2"/>
    </row>
    <row r="84" ht="15.75" customHeight="1">
      <c r="A84" s="2"/>
      <c r="B84" s="2"/>
      <c r="C84" s="2"/>
      <c r="D84" s="2"/>
      <c r="E84" s="2"/>
      <c r="F84" s="2"/>
      <c r="G84" s="2"/>
      <c r="H84" s="2"/>
      <c r="I84" s="4"/>
      <c r="J84" s="4"/>
      <c r="K84" s="5"/>
      <c r="L84" s="4"/>
      <c r="M84" s="2"/>
      <c r="N84" s="2"/>
      <c r="O84" s="2"/>
      <c r="P84" s="2"/>
      <c r="Q84" s="2"/>
      <c r="R84" s="2"/>
      <c r="S84" s="2"/>
      <c r="T84" s="2"/>
      <c r="U84" s="2"/>
      <c r="V84" s="2"/>
      <c r="W84" s="2"/>
      <c r="X84" s="2"/>
      <c r="Y84" s="2"/>
      <c r="Z84" s="2"/>
    </row>
    <row r="85" ht="15.75" customHeight="1">
      <c r="A85" s="2"/>
      <c r="B85" s="2"/>
      <c r="C85" s="2"/>
      <c r="D85" s="2"/>
      <c r="E85" s="2"/>
      <c r="F85" s="2"/>
      <c r="G85" s="2"/>
      <c r="H85" s="2"/>
      <c r="I85" s="4"/>
      <c r="J85" s="4"/>
      <c r="K85" s="5"/>
      <c r="L85" s="4"/>
      <c r="M85" s="2"/>
      <c r="N85" s="2"/>
      <c r="O85" s="2"/>
      <c r="P85" s="2"/>
      <c r="Q85" s="2"/>
      <c r="R85" s="2"/>
      <c r="S85" s="2"/>
      <c r="T85" s="2"/>
      <c r="U85" s="2"/>
      <c r="V85" s="2"/>
      <c r="W85" s="2"/>
      <c r="X85" s="2"/>
      <c r="Y85" s="2"/>
      <c r="Z85" s="2"/>
    </row>
    <row r="86" ht="15.75" customHeight="1">
      <c r="A86" s="2"/>
      <c r="B86" s="2"/>
      <c r="C86" s="2"/>
      <c r="D86" s="2"/>
      <c r="E86" s="2"/>
      <c r="F86" s="2"/>
      <c r="G86" s="2"/>
      <c r="H86" s="2"/>
      <c r="I86" s="4"/>
      <c r="J86" s="4"/>
      <c r="K86" s="5"/>
      <c r="L86" s="4"/>
      <c r="M86" s="2"/>
      <c r="N86" s="2"/>
      <c r="O86" s="2"/>
      <c r="P86" s="2"/>
      <c r="Q86" s="2"/>
      <c r="R86" s="2"/>
      <c r="S86" s="2"/>
      <c r="T86" s="2"/>
      <c r="U86" s="2"/>
      <c r="V86" s="2"/>
      <c r="W86" s="2"/>
      <c r="X86" s="2"/>
      <c r="Y86" s="2"/>
      <c r="Z86" s="2"/>
    </row>
    <row r="87" ht="15.75" customHeight="1">
      <c r="A87" s="2"/>
      <c r="B87" s="2"/>
      <c r="C87" s="2"/>
      <c r="D87" s="2"/>
      <c r="E87" s="2"/>
      <c r="F87" s="2"/>
      <c r="G87" s="2"/>
      <c r="H87" s="2"/>
      <c r="I87" s="4"/>
      <c r="J87" s="4"/>
      <c r="K87" s="5"/>
      <c r="L87" s="4"/>
      <c r="M87" s="2"/>
      <c r="N87" s="2"/>
      <c r="O87" s="2"/>
      <c r="P87" s="2"/>
      <c r="Q87" s="2"/>
      <c r="R87" s="2"/>
      <c r="S87" s="2"/>
      <c r="T87" s="2"/>
      <c r="U87" s="2"/>
      <c r="V87" s="2"/>
      <c r="W87" s="2"/>
      <c r="X87" s="2"/>
      <c r="Y87" s="2"/>
      <c r="Z87" s="2"/>
    </row>
    <row r="88" ht="15.75" customHeight="1">
      <c r="A88" s="2"/>
      <c r="B88" s="2"/>
      <c r="C88" s="2"/>
      <c r="D88" s="2"/>
      <c r="E88" s="2"/>
      <c r="F88" s="2"/>
      <c r="G88" s="2"/>
      <c r="H88" s="2"/>
      <c r="I88" s="4"/>
      <c r="J88" s="4"/>
      <c r="K88" s="5"/>
      <c r="L88" s="4"/>
      <c r="M88" s="2"/>
      <c r="N88" s="2"/>
      <c r="O88" s="2"/>
      <c r="P88" s="2"/>
      <c r="Q88" s="2"/>
      <c r="R88" s="2"/>
      <c r="S88" s="2"/>
      <c r="T88" s="2"/>
      <c r="U88" s="2"/>
      <c r="V88" s="2"/>
      <c r="W88" s="2"/>
      <c r="X88" s="2"/>
      <c r="Y88" s="2"/>
      <c r="Z88" s="2"/>
    </row>
    <row r="89" ht="15.75" customHeight="1">
      <c r="A89" s="2"/>
      <c r="B89" s="2"/>
      <c r="C89" s="2"/>
      <c r="D89" s="2"/>
      <c r="E89" s="2"/>
      <c r="F89" s="2"/>
      <c r="G89" s="2"/>
      <c r="H89" s="2"/>
      <c r="I89" s="4"/>
      <c r="J89" s="4"/>
      <c r="K89" s="5"/>
      <c r="L89" s="4"/>
      <c r="M89" s="2"/>
      <c r="N89" s="2"/>
      <c r="O89" s="2"/>
      <c r="P89" s="2"/>
      <c r="Q89" s="2"/>
      <c r="R89" s="2"/>
      <c r="S89" s="2"/>
      <c r="T89" s="2"/>
      <c r="U89" s="2"/>
      <c r="V89" s="2"/>
      <c r="W89" s="2"/>
      <c r="X89" s="2"/>
      <c r="Y89" s="2"/>
      <c r="Z89" s="2"/>
    </row>
    <row r="90" ht="15.75" customHeight="1">
      <c r="A90" s="2"/>
      <c r="B90" s="2"/>
      <c r="C90" s="2"/>
      <c r="D90" s="2"/>
      <c r="E90" s="2"/>
      <c r="F90" s="2"/>
      <c r="G90" s="2"/>
      <c r="H90" s="2"/>
      <c r="I90" s="4"/>
      <c r="J90" s="4"/>
      <c r="K90" s="5"/>
      <c r="L90" s="4"/>
      <c r="M90" s="2"/>
      <c r="N90" s="2"/>
      <c r="O90" s="2"/>
      <c r="P90" s="2"/>
      <c r="Q90" s="2"/>
      <c r="R90" s="2"/>
      <c r="S90" s="2"/>
      <c r="T90" s="2"/>
      <c r="U90" s="2"/>
      <c r="V90" s="2"/>
      <c r="W90" s="2"/>
      <c r="X90" s="2"/>
      <c r="Y90" s="2"/>
      <c r="Z90" s="2"/>
    </row>
    <row r="91" ht="15.75" customHeight="1">
      <c r="A91" s="2"/>
      <c r="B91" s="2"/>
      <c r="C91" s="2"/>
      <c r="D91" s="2"/>
      <c r="E91" s="2"/>
      <c r="F91" s="2"/>
      <c r="G91" s="2"/>
      <c r="H91" s="2"/>
      <c r="I91" s="4"/>
      <c r="J91" s="4"/>
      <c r="K91" s="5"/>
      <c r="L91" s="4"/>
      <c r="M91" s="2"/>
      <c r="N91" s="2"/>
      <c r="O91" s="2"/>
      <c r="P91" s="2"/>
      <c r="Q91" s="2"/>
      <c r="R91" s="2"/>
      <c r="S91" s="2"/>
      <c r="T91" s="2"/>
      <c r="U91" s="2"/>
      <c r="V91" s="2"/>
      <c r="W91" s="2"/>
      <c r="X91" s="2"/>
      <c r="Y91" s="2"/>
      <c r="Z91" s="2"/>
    </row>
    <row r="92" ht="15.75" customHeight="1">
      <c r="A92" s="2"/>
      <c r="B92" s="2"/>
      <c r="C92" s="2"/>
      <c r="D92" s="2"/>
      <c r="E92" s="2"/>
      <c r="F92" s="2"/>
      <c r="G92" s="2"/>
      <c r="H92" s="2"/>
      <c r="I92" s="4"/>
      <c r="J92" s="4"/>
      <c r="K92" s="5"/>
      <c r="L92" s="4"/>
      <c r="M92" s="2"/>
      <c r="N92" s="2"/>
      <c r="O92" s="2"/>
      <c r="P92" s="2"/>
      <c r="Q92" s="2"/>
      <c r="R92" s="2"/>
      <c r="S92" s="2"/>
      <c r="T92" s="2"/>
      <c r="U92" s="2"/>
      <c r="V92" s="2"/>
      <c r="W92" s="2"/>
      <c r="X92" s="2"/>
      <c r="Y92" s="2"/>
      <c r="Z92" s="2"/>
    </row>
    <row r="93" ht="15.75" customHeight="1">
      <c r="A93" s="2"/>
      <c r="B93" s="2"/>
      <c r="C93" s="2"/>
      <c r="D93" s="2"/>
      <c r="E93" s="2"/>
      <c r="F93" s="2"/>
      <c r="G93" s="2"/>
      <c r="H93" s="2"/>
      <c r="I93" s="4"/>
      <c r="J93" s="4"/>
      <c r="K93" s="5"/>
      <c r="L93" s="4"/>
      <c r="M93" s="2"/>
      <c r="N93" s="2"/>
      <c r="O93" s="2"/>
      <c r="P93" s="2"/>
      <c r="Q93" s="2"/>
      <c r="R93" s="2"/>
      <c r="S93" s="2"/>
      <c r="T93" s="2"/>
      <c r="U93" s="2"/>
      <c r="V93" s="2"/>
      <c r="W93" s="2"/>
      <c r="X93" s="2"/>
      <c r="Y93" s="2"/>
      <c r="Z93" s="2"/>
    </row>
    <row r="94" ht="15.75" customHeight="1">
      <c r="A94" s="2"/>
      <c r="B94" s="2"/>
      <c r="C94" s="2"/>
      <c r="D94" s="2"/>
      <c r="E94" s="2"/>
      <c r="F94" s="2"/>
      <c r="G94" s="2"/>
      <c r="H94" s="2"/>
      <c r="I94" s="4"/>
      <c r="J94" s="4"/>
      <c r="K94" s="5"/>
      <c r="L94" s="4"/>
      <c r="M94" s="2"/>
      <c r="N94" s="2"/>
      <c r="O94" s="2"/>
      <c r="P94" s="2"/>
      <c r="Q94" s="2"/>
      <c r="R94" s="2"/>
      <c r="S94" s="2"/>
      <c r="T94" s="2"/>
      <c r="U94" s="2"/>
      <c r="V94" s="2"/>
      <c r="W94" s="2"/>
      <c r="X94" s="2"/>
      <c r="Y94" s="2"/>
      <c r="Z94" s="2"/>
    </row>
    <row r="95" ht="15.75" customHeight="1">
      <c r="A95" s="2"/>
      <c r="B95" s="2"/>
      <c r="C95" s="2"/>
      <c r="D95" s="2"/>
      <c r="E95" s="2"/>
      <c r="F95" s="2"/>
      <c r="G95" s="2"/>
      <c r="H95" s="2"/>
      <c r="I95" s="4"/>
      <c r="J95" s="4"/>
      <c r="K95" s="5"/>
      <c r="L95" s="4"/>
      <c r="M95" s="2"/>
      <c r="N95" s="2"/>
      <c r="O95" s="2"/>
      <c r="P95" s="2"/>
      <c r="Q95" s="2"/>
      <c r="R95" s="2"/>
      <c r="S95" s="2"/>
      <c r="T95" s="2"/>
      <c r="U95" s="2"/>
      <c r="V95" s="2"/>
      <c r="W95" s="2"/>
      <c r="X95" s="2"/>
      <c r="Y95" s="2"/>
      <c r="Z95" s="2"/>
    </row>
    <row r="96" ht="15.75" customHeight="1">
      <c r="A96" s="2"/>
      <c r="B96" s="2"/>
      <c r="C96" s="2"/>
      <c r="D96" s="2"/>
      <c r="E96" s="2"/>
      <c r="F96" s="2"/>
      <c r="G96" s="2"/>
      <c r="H96" s="2"/>
      <c r="I96" s="4"/>
      <c r="J96" s="4"/>
      <c r="K96" s="5"/>
      <c r="L96" s="4"/>
      <c r="M96" s="2"/>
      <c r="N96" s="2"/>
      <c r="O96" s="2"/>
      <c r="P96" s="2"/>
      <c r="Q96" s="2"/>
      <c r="R96" s="2"/>
      <c r="S96" s="2"/>
      <c r="T96" s="2"/>
      <c r="U96" s="2"/>
      <c r="V96" s="2"/>
      <c r="W96" s="2"/>
      <c r="X96" s="2"/>
      <c r="Y96" s="2"/>
      <c r="Z96" s="2"/>
    </row>
    <row r="97" ht="15.75" customHeight="1">
      <c r="A97" s="2"/>
      <c r="B97" s="2"/>
      <c r="C97" s="2"/>
      <c r="D97" s="2"/>
      <c r="E97" s="2"/>
      <c r="F97" s="2"/>
      <c r="G97" s="2"/>
      <c r="H97" s="2"/>
      <c r="I97" s="4"/>
      <c r="J97" s="4"/>
      <c r="K97" s="5"/>
      <c r="L97" s="4"/>
      <c r="M97" s="2"/>
      <c r="N97" s="2"/>
      <c r="O97" s="2"/>
      <c r="P97" s="2"/>
      <c r="Q97" s="2"/>
      <c r="R97" s="2"/>
      <c r="S97" s="2"/>
      <c r="T97" s="2"/>
      <c r="U97" s="2"/>
      <c r="V97" s="2"/>
      <c r="W97" s="2"/>
      <c r="X97" s="2"/>
      <c r="Y97" s="2"/>
      <c r="Z97" s="2"/>
    </row>
    <row r="98" ht="15.75" customHeight="1">
      <c r="A98" s="2"/>
      <c r="B98" s="2"/>
      <c r="C98" s="2"/>
      <c r="D98" s="2"/>
      <c r="E98" s="2"/>
      <c r="F98" s="2"/>
      <c r="G98" s="2"/>
      <c r="H98" s="2"/>
      <c r="I98" s="4"/>
      <c r="J98" s="4"/>
      <c r="K98" s="5"/>
      <c r="L98" s="4"/>
      <c r="M98" s="2"/>
      <c r="N98" s="2"/>
      <c r="O98" s="2"/>
      <c r="P98" s="2"/>
      <c r="Q98" s="2"/>
      <c r="R98" s="2"/>
      <c r="S98" s="2"/>
      <c r="T98" s="2"/>
      <c r="U98" s="2"/>
      <c r="V98" s="2"/>
      <c r="W98" s="2"/>
      <c r="X98" s="2"/>
      <c r="Y98" s="2"/>
      <c r="Z98" s="2"/>
    </row>
    <row r="99" ht="15.75" customHeight="1">
      <c r="A99" s="2"/>
      <c r="B99" s="2"/>
      <c r="C99" s="2"/>
      <c r="D99" s="2"/>
      <c r="E99" s="2"/>
      <c r="F99" s="2"/>
      <c r="G99" s="2"/>
      <c r="H99" s="2"/>
      <c r="I99" s="4"/>
      <c r="J99" s="4"/>
      <c r="K99" s="5"/>
      <c r="L99" s="4"/>
      <c r="M99" s="2"/>
      <c r="N99" s="2"/>
      <c r="O99" s="2"/>
      <c r="P99" s="2"/>
      <c r="Q99" s="2"/>
      <c r="R99" s="2"/>
      <c r="S99" s="2"/>
      <c r="T99" s="2"/>
      <c r="U99" s="2"/>
      <c r="V99" s="2"/>
      <c r="W99" s="2"/>
      <c r="X99" s="2"/>
      <c r="Y99" s="2"/>
      <c r="Z99" s="2"/>
    </row>
    <row r="100" ht="15.75" customHeight="1">
      <c r="A100" s="2"/>
      <c r="B100" s="2"/>
      <c r="C100" s="2"/>
      <c r="D100" s="2"/>
      <c r="E100" s="2"/>
      <c r="F100" s="2"/>
      <c r="G100" s="2"/>
      <c r="H100" s="2"/>
      <c r="I100" s="4"/>
      <c r="J100" s="4"/>
      <c r="K100" s="5"/>
      <c r="L100" s="4"/>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4"/>
      <c r="J101" s="4"/>
      <c r="K101" s="5"/>
      <c r="L101" s="4"/>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4"/>
      <c r="J102" s="4"/>
      <c r="K102" s="5"/>
      <c r="L102" s="4"/>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4"/>
      <c r="J103" s="4"/>
      <c r="K103" s="5"/>
      <c r="L103" s="4"/>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4"/>
      <c r="J104" s="4"/>
      <c r="K104" s="5"/>
      <c r="L104" s="4"/>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4"/>
      <c r="J105" s="4"/>
      <c r="K105" s="5"/>
      <c r="L105" s="4"/>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4"/>
      <c r="J106" s="4"/>
      <c r="K106" s="5"/>
      <c r="L106" s="4"/>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4"/>
      <c r="J107" s="4"/>
      <c r="K107" s="5"/>
      <c r="L107" s="4"/>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4"/>
      <c r="J108" s="4"/>
      <c r="K108" s="5"/>
      <c r="L108" s="4"/>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4"/>
      <c r="J109" s="4"/>
      <c r="K109" s="5"/>
      <c r="L109" s="4"/>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4"/>
      <c r="J110" s="4"/>
      <c r="K110" s="5"/>
      <c r="L110" s="4"/>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4"/>
      <c r="J111" s="4"/>
      <c r="K111" s="5"/>
      <c r="L111" s="4"/>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4"/>
      <c r="J112" s="4"/>
      <c r="K112" s="5"/>
      <c r="L112" s="4"/>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4"/>
      <c r="J113" s="4"/>
      <c r="K113" s="5"/>
      <c r="L113" s="4"/>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4"/>
      <c r="J114" s="4"/>
      <c r="K114" s="5"/>
      <c r="L114" s="4"/>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4"/>
      <c r="J115" s="4"/>
      <c r="K115" s="5"/>
      <c r="L115" s="4"/>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4"/>
      <c r="J116" s="4"/>
      <c r="K116" s="5"/>
      <c r="L116" s="4"/>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4"/>
      <c r="J117" s="4"/>
      <c r="K117" s="5"/>
      <c r="L117" s="4"/>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4"/>
      <c r="J118" s="4"/>
      <c r="K118" s="5"/>
      <c r="L118" s="4"/>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4"/>
      <c r="J119" s="4"/>
      <c r="K119" s="5"/>
      <c r="L119" s="4"/>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4"/>
      <c r="J120" s="4"/>
      <c r="K120" s="5"/>
      <c r="L120" s="4"/>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4"/>
      <c r="J121" s="4"/>
      <c r="K121" s="5"/>
      <c r="L121" s="4"/>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4"/>
      <c r="J122" s="4"/>
      <c r="K122" s="5"/>
      <c r="L122" s="4"/>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4"/>
      <c r="J123" s="4"/>
      <c r="K123" s="5"/>
      <c r="L123" s="4"/>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4"/>
      <c r="J124" s="4"/>
      <c r="K124" s="5"/>
      <c r="L124" s="4"/>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4"/>
      <c r="J125" s="4"/>
      <c r="K125" s="5"/>
      <c r="L125" s="4"/>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4"/>
      <c r="J126" s="4"/>
      <c r="K126" s="5"/>
      <c r="L126" s="4"/>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4"/>
      <c r="J127" s="4"/>
      <c r="K127" s="5"/>
      <c r="L127" s="4"/>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4"/>
      <c r="J128" s="4"/>
      <c r="K128" s="5"/>
      <c r="L128" s="4"/>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4"/>
      <c r="J129" s="4"/>
      <c r="K129" s="5"/>
      <c r="L129" s="4"/>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4"/>
      <c r="J130" s="4"/>
      <c r="K130" s="5"/>
      <c r="L130" s="4"/>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4"/>
      <c r="J131" s="4"/>
      <c r="K131" s="5"/>
      <c r="L131" s="4"/>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4"/>
      <c r="J132" s="4"/>
      <c r="K132" s="5"/>
      <c r="L132" s="4"/>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4"/>
      <c r="J133" s="4"/>
      <c r="K133" s="5"/>
      <c r="L133" s="4"/>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4"/>
      <c r="J134" s="4"/>
      <c r="K134" s="5"/>
      <c r="L134" s="4"/>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4"/>
      <c r="J135" s="4"/>
      <c r="K135" s="5"/>
      <c r="L135" s="4"/>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4"/>
      <c r="J136" s="4"/>
      <c r="K136" s="5"/>
      <c r="L136" s="4"/>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4"/>
      <c r="J137" s="4"/>
      <c r="K137" s="5"/>
      <c r="L137" s="4"/>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4"/>
      <c r="J138" s="4"/>
      <c r="K138" s="5"/>
      <c r="L138" s="4"/>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4"/>
      <c r="J139" s="4"/>
      <c r="K139" s="5"/>
      <c r="L139" s="4"/>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4"/>
      <c r="J140" s="4"/>
      <c r="K140" s="5"/>
      <c r="L140" s="4"/>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4"/>
      <c r="J141" s="4"/>
      <c r="K141" s="5"/>
      <c r="L141" s="4"/>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4"/>
      <c r="J142" s="4"/>
      <c r="K142" s="5"/>
      <c r="L142" s="4"/>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4"/>
      <c r="J143" s="4"/>
      <c r="K143" s="5"/>
      <c r="L143" s="4"/>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4"/>
      <c r="J144" s="4"/>
      <c r="K144" s="5"/>
      <c r="L144" s="4"/>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4"/>
      <c r="J145" s="4"/>
      <c r="K145" s="5"/>
      <c r="L145" s="4"/>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4"/>
      <c r="J146" s="4"/>
      <c r="K146" s="5"/>
      <c r="L146" s="4"/>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4"/>
      <c r="J147" s="4"/>
      <c r="K147" s="5"/>
      <c r="L147" s="4"/>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4"/>
      <c r="J148" s="4"/>
      <c r="K148" s="5"/>
      <c r="L148" s="4"/>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4"/>
      <c r="J149" s="4"/>
      <c r="K149" s="5"/>
      <c r="L149" s="4"/>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4"/>
      <c r="J150" s="4"/>
      <c r="K150" s="5"/>
      <c r="L150" s="4"/>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4"/>
      <c r="J151" s="4"/>
      <c r="K151" s="5"/>
      <c r="L151" s="4"/>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4"/>
      <c r="J152" s="4"/>
      <c r="K152" s="5"/>
      <c r="L152" s="4"/>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4"/>
      <c r="J153" s="4"/>
      <c r="K153" s="5"/>
      <c r="L153" s="4"/>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4"/>
      <c r="J154" s="4"/>
      <c r="K154" s="5"/>
      <c r="L154" s="4"/>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4"/>
      <c r="J155" s="4"/>
      <c r="K155" s="5"/>
      <c r="L155" s="4"/>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4"/>
      <c r="J156" s="4"/>
      <c r="K156" s="5"/>
      <c r="L156" s="4"/>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4"/>
      <c r="J157" s="4"/>
      <c r="K157" s="5"/>
      <c r="L157" s="4"/>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4"/>
      <c r="J158" s="4"/>
      <c r="K158" s="5"/>
      <c r="L158" s="4"/>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4"/>
      <c r="J159" s="4"/>
      <c r="K159" s="5"/>
      <c r="L159" s="4"/>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4"/>
      <c r="J160" s="4"/>
      <c r="K160" s="5"/>
      <c r="L160" s="4"/>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4"/>
      <c r="J161" s="4"/>
      <c r="K161" s="5"/>
      <c r="L161" s="4"/>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4"/>
      <c r="J162" s="4"/>
      <c r="K162" s="5"/>
      <c r="L162" s="4"/>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4"/>
      <c r="J163" s="4"/>
      <c r="K163" s="5"/>
      <c r="L163" s="4"/>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4"/>
      <c r="J164" s="4"/>
      <c r="K164" s="5"/>
      <c r="L164" s="4"/>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4"/>
      <c r="J165" s="4"/>
      <c r="K165" s="5"/>
      <c r="L165" s="4"/>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4"/>
      <c r="J166" s="4"/>
      <c r="K166" s="5"/>
      <c r="L166" s="4"/>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4"/>
      <c r="J167" s="4"/>
      <c r="K167" s="5"/>
      <c r="L167" s="4"/>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4"/>
      <c r="J168" s="4"/>
      <c r="K168" s="5"/>
      <c r="L168" s="4"/>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4"/>
      <c r="J169" s="4"/>
      <c r="K169" s="5"/>
      <c r="L169" s="4"/>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4"/>
      <c r="J170" s="4"/>
      <c r="K170" s="5"/>
      <c r="L170" s="4"/>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4"/>
      <c r="J171" s="4"/>
      <c r="K171" s="5"/>
      <c r="L171" s="4"/>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4"/>
      <c r="J172" s="4"/>
      <c r="K172" s="5"/>
      <c r="L172" s="4"/>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4"/>
      <c r="J173" s="4"/>
      <c r="K173" s="5"/>
      <c r="L173" s="4"/>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4"/>
      <c r="J174" s="4"/>
      <c r="K174" s="5"/>
      <c r="L174" s="4"/>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4"/>
      <c r="J175" s="4"/>
      <c r="K175" s="5"/>
      <c r="L175" s="4"/>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4"/>
      <c r="J176" s="4"/>
      <c r="K176" s="5"/>
      <c r="L176" s="4"/>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4"/>
      <c r="J177" s="4"/>
      <c r="K177" s="5"/>
      <c r="L177" s="4"/>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4"/>
      <c r="J178" s="4"/>
      <c r="K178" s="5"/>
      <c r="L178" s="4"/>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4"/>
      <c r="J179" s="4"/>
      <c r="K179" s="5"/>
      <c r="L179" s="4"/>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4"/>
      <c r="J180" s="4"/>
      <c r="K180" s="5"/>
      <c r="L180" s="4"/>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4"/>
      <c r="J181" s="4"/>
      <c r="K181" s="5"/>
      <c r="L181" s="4"/>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4"/>
      <c r="J182" s="4"/>
      <c r="K182" s="5"/>
      <c r="L182" s="4"/>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4"/>
      <c r="J183" s="4"/>
      <c r="K183" s="5"/>
      <c r="L183" s="4"/>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4"/>
      <c r="J184" s="4"/>
      <c r="K184" s="5"/>
      <c r="L184" s="4"/>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4"/>
      <c r="J185" s="4"/>
      <c r="K185" s="5"/>
      <c r="L185" s="4"/>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4"/>
      <c r="J186" s="4"/>
      <c r="K186" s="5"/>
      <c r="L186" s="4"/>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4"/>
      <c r="J187" s="4"/>
      <c r="K187" s="5"/>
      <c r="L187" s="4"/>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4"/>
      <c r="J188" s="4"/>
      <c r="K188" s="5"/>
      <c r="L188" s="4"/>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4"/>
      <c r="J189" s="4"/>
      <c r="K189" s="5"/>
      <c r="L189" s="4"/>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4"/>
      <c r="J190" s="4"/>
      <c r="K190" s="5"/>
      <c r="L190" s="4"/>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4"/>
      <c r="J191" s="4"/>
      <c r="K191" s="5"/>
      <c r="L191" s="4"/>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4"/>
      <c r="J192" s="4"/>
      <c r="K192" s="5"/>
      <c r="L192" s="4"/>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4"/>
      <c r="J193" s="4"/>
      <c r="K193" s="5"/>
      <c r="L193" s="4"/>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4"/>
      <c r="J194" s="4"/>
      <c r="K194" s="5"/>
      <c r="L194" s="4"/>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4"/>
      <c r="J195" s="4"/>
      <c r="K195" s="5"/>
      <c r="L195" s="4"/>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4"/>
      <c r="J196" s="4"/>
      <c r="K196" s="5"/>
      <c r="L196" s="4"/>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4"/>
      <c r="J197" s="4"/>
      <c r="K197" s="5"/>
      <c r="L197" s="4"/>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4"/>
      <c r="J198" s="4"/>
      <c r="K198" s="5"/>
      <c r="L198" s="4"/>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4"/>
      <c r="J199" s="4"/>
      <c r="K199" s="5"/>
      <c r="L199" s="4"/>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4"/>
      <c r="J200" s="4"/>
      <c r="K200" s="5"/>
      <c r="L200" s="4"/>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4"/>
      <c r="J201" s="4"/>
      <c r="K201" s="5"/>
      <c r="L201" s="4"/>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4"/>
      <c r="J202" s="4"/>
      <c r="K202" s="5"/>
      <c r="L202" s="4"/>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4"/>
      <c r="J203" s="4"/>
      <c r="K203" s="5"/>
      <c r="L203" s="4"/>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4"/>
      <c r="J204" s="4"/>
      <c r="K204" s="5"/>
      <c r="L204" s="4"/>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4"/>
      <c r="J205" s="4"/>
      <c r="K205" s="5"/>
      <c r="L205" s="4"/>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4"/>
      <c r="J206" s="4"/>
      <c r="K206" s="5"/>
      <c r="L206" s="4"/>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4"/>
      <c r="J207" s="4"/>
      <c r="K207" s="5"/>
      <c r="L207" s="4"/>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4"/>
      <c r="J208" s="4"/>
      <c r="K208" s="5"/>
      <c r="L208" s="4"/>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4"/>
      <c r="J209" s="4"/>
      <c r="K209" s="5"/>
      <c r="L209" s="4"/>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4"/>
      <c r="J210" s="4"/>
      <c r="K210" s="5"/>
      <c r="L210" s="4"/>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4"/>
      <c r="J211" s="4"/>
      <c r="K211" s="5"/>
      <c r="L211" s="4"/>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4"/>
      <c r="J212" s="4"/>
      <c r="K212" s="5"/>
      <c r="L212" s="4"/>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4"/>
      <c r="J213" s="4"/>
      <c r="K213" s="5"/>
      <c r="L213" s="4"/>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4"/>
      <c r="J214" s="4"/>
      <c r="K214" s="5"/>
      <c r="L214" s="4"/>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4"/>
      <c r="J215" s="4"/>
      <c r="K215" s="5"/>
      <c r="L215" s="4"/>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4"/>
      <c r="J216" s="4"/>
      <c r="K216" s="5"/>
      <c r="L216" s="4"/>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4"/>
      <c r="J217" s="4"/>
      <c r="K217" s="5"/>
      <c r="L217" s="4"/>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4"/>
      <c r="J218" s="4"/>
      <c r="K218" s="5"/>
      <c r="L218" s="4"/>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4"/>
      <c r="J219" s="4"/>
      <c r="K219" s="5"/>
      <c r="L219" s="4"/>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4"/>
      <c r="J220" s="4"/>
      <c r="K220" s="5"/>
      <c r="L220" s="4"/>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4"/>
      <c r="J221" s="4"/>
      <c r="K221" s="5"/>
      <c r="L221" s="4"/>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4"/>
      <c r="J222" s="4"/>
      <c r="K222" s="5"/>
      <c r="L222" s="4"/>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4"/>
      <c r="J223" s="4"/>
      <c r="K223" s="5"/>
      <c r="L223" s="4"/>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4"/>
      <c r="J224" s="4"/>
      <c r="K224" s="5"/>
      <c r="L224" s="4"/>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4"/>
      <c r="J225" s="4"/>
      <c r="K225" s="5"/>
      <c r="L225" s="4"/>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4"/>
      <c r="J226" s="4"/>
      <c r="K226" s="5"/>
      <c r="L226" s="4"/>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4"/>
      <c r="J227" s="4"/>
      <c r="K227" s="5"/>
      <c r="L227" s="4"/>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4"/>
      <c r="J228" s="4"/>
      <c r="K228" s="5"/>
      <c r="L228" s="4"/>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4"/>
      <c r="J229" s="4"/>
      <c r="K229" s="5"/>
      <c r="L229" s="4"/>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4"/>
      <c r="J230" s="4"/>
      <c r="K230" s="5"/>
      <c r="L230" s="4"/>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4"/>
      <c r="J231" s="4"/>
      <c r="K231" s="5"/>
      <c r="L231" s="4"/>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4"/>
      <c r="J232" s="4"/>
      <c r="K232" s="5"/>
      <c r="L232" s="4"/>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4"/>
      <c r="J233" s="4"/>
      <c r="K233" s="5"/>
      <c r="L233" s="4"/>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4"/>
      <c r="J234" s="4"/>
      <c r="K234" s="5"/>
      <c r="L234" s="4"/>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4"/>
      <c r="J235" s="4"/>
      <c r="K235" s="5"/>
      <c r="L235" s="4"/>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4"/>
      <c r="J236" s="4"/>
      <c r="K236" s="5"/>
      <c r="L236" s="4"/>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4"/>
      <c r="J237" s="4"/>
      <c r="K237" s="5"/>
      <c r="L237" s="4"/>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4"/>
      <c r="J238" s="4"/>
      <c r="K238" s="5"/>
      <c r="L238" s="4"/>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4"/>
      <c r="J239" s="4"/>
      <c r="K239" s="5"/>
      <c r="L239" s="4"/>
      <c r="M239" s="2"/>
      <c r="N239" s="2"/>
      <c r="O239" s="2"/>
      <c r="P239" s="2"/>
      <c r="Q239" s="2"/>
      <c r="R239" s="2"/>
      <c r="S239" s="2"/>
      <c r="T239" s="2"/>
      <c r="U239" s="2"/>
      <c r="V239" s="2"/>
      <c r="W239" s="2"/>
      <c r="X239" s="2"/>
      <c r="Y239" s="2"/>
      <c r="Z239" s="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B3:O3"/>
  </mergeCells>
  <conditionalFormatting sqref="L7:L32">
    <cfRule type="colorScale" priority="1">
      <colorScale>
        <cfvo type="min"/>
        <cfvo type="max"/>
        <color rgb="FF57BB8A"/>
        <color rgb="FFFFFFFF"/>
      </colorScale>
    </cfRule>
  </conditionalFormatting>
  <conditionalFormatting sqref="L13:L22">
    <cfRule type="colorScale" priority="2">
      <colorScale>
        <cfvo type="min"/>
        <cfvo type="max"/>
        <color rgb="FF57BB8A"/>
        <color rgb="FFFFFFFF"/>
      </colorScale>
    </cfRule>
  </conditionalFormatting>
  <conditionalFormatting sqref="L12">
    <cfRule type="colorScale" priority="3">
      <colorScale>
        <cfvo type="min"/>
        <cfvo type="max"/>
        <color rgb="FF57BB8A"/>
        <color rgb="FFFFFFFF"/>
      </colorScale>
    </cfRule>
  </conditionalFormatting>
  <dataValidations>
    <dataValidation type="list" allowBlank="1" showErrorMessage="1" sqref="K7:K32">
      <formula1>$K$36:$K$38</formula1>
    </dataValidation>
    <dataValidation type="list" allowBlank="1" showErrorMessage="1" sqref="L7:L32">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1">
      <c r="A1" s="24"/>
      <c r="B1" s="24"/>
      <c r="C1" s="24"/>
      <c r="D1" s="24"/>
      <c r="E1" s="24"/>
      <c r="F1" s="24"/>
      <c r="G1" s="24"/>
      <c r="H1" s="24"/>
      <c r="I1" s="24"/>
      <c r="J1" s="24"/>
      <c r="K1" s="24"/>
      <c r="L1" s="24"/>
      <c r="M1" s="24"/>
      <c r="N1" s="24"/>
      <c r="O1" s="24"/>
      <c r="P1" s="24"/>
      <c r="Q1" s="24"/>
      <c r="R1" s="24"/>
      <c r="S1" s="24"/>
      <c r="T1" s="24"/>
      <c r="U1" s="24"/>
      <c r="V1" s="24"/>
      <c r="W1" s="24"/>
      <c r="X1" s="24"/>
      <c r="Y1" s="24"/>
      <c r="Z1" s="24"/>
    </row>
    <row r="2" ht="15.0" hidden="1" customHeight="1">
      <c r="A2" s="24"/>
      <c r="B2" s="24"/>
      <c r="C2" s="24"/>
      <c r="D2" s="24"/>
      <c r="E2" s="24"/>
      <c r="F2" s="24"/>
      <c r="G2" s="24"/>
      <c r="H2" s="24"/>
      <c r="I2" s="24"/>
      <c r="J2" s="24"/>
      <c r="K2" s="24"/>
      <c r="L2" s="24"/>
      <c r="M2" s="24"/>
      <c r="N2" s="24"/>
      <c r="O2" s="24"/>
      <c r="P2" s="24"/>
      <c r="Q2" s="24"/>
      <c r="R2" s="24"/>
      <c r="S2" s="24"/>
      <c r="T2" s="24"/>
      <c r="U2" s="24"/>
      <c r="V2" s="24"/>
      <c r="W2" s="24"/>
      <c r="X2" s="24"/>
      <c r="Y2" s="24"/>
      <c r="Z2" s="24"/>
    </row>
    <row r="3" ht="15.0" hidden="1" customHeight="1">
      <c r="A3" s="24"/>
      <c r="B3" s="24"/>
      <c r="C3" s="24"/>
      <c r="D3" s="24"/>
      <c r="E3" s="24"/>
      <c r="F3" s="24"/>
      <c r="G3" s="24"/>
      <c r="H3" s="24"/>
      <c r="I3" s="24"/>
      <c r="J3" s="24"/>
      <c r="K3" s="24"/>
      <c r="L3" s="24"/>
      <c r="M3" s="24"/>
      <c r="N3" s="24"/>
      <c r="O3" s="24"/>
      <c r="P3" s="24"/>
      <c r="Q3" s="24"/>
      <c r="R3" s="24"/>
      <c r="S3" s="24"/>
      <c r="T3" s="24"/>
      <c r="U3" s="24"/>
      <c r="V3" s="24"/>
      <c r="W3" s="24"/>
      <c r="X3" s="24"/>
      <c r="Y3" s="24"/>
      <c r="Z3" s="24"/>
    </row>
    <row r="4" hidden="1">
      <c r="A4" s="24"/>
      <c r="B4" s="24"/>
      <c r="C4" s="25"/>
      <c r="D4" s="25"/>
      <c r="E4" s="25"/>
      <c r="F4" s="26"/>
      <c r="G4" s="24"/>
      <c r="H4" s="24"/>
      <c r="I4" s="24"/>
      <c r="J4" s="24"/>
      <c r="K4" s="24"/>
      <c r="L4" s="24"/>
      <c r="M4" s="24"/>
      <c r="N4" s="24"/>
      <c r="O4" s="24"/>
      <c r="P4" s="24"/>
      <c r="Q4" s="24"/>
      <c r="R4" s="24"/>
      <c r="S4" s="24"/>
      <c r="T4" s="24"/>
      <c r="U4" s="24"/>
      <c r="V4" s="24"/>
      <c r="W4" s="24"/>
      <c r="X4" s="24"/>
      <c r="Y4" s="24"/>
      <c r="Z4" s="24"/>
    </row>
    <row r="5" hidden="1">
      <c r="A5" s="24"/>
      <c r="B5" s="24"/>
      <c r="C5" s="25"/>
      <c r="D5" s="25"/>
      <c r="E5" s="25"/>
      <c r="F5" s="26"/>
      <c r="G5" s="24"/>
      <c r="H5" s="24"/>
      <c r="I5" s="24"/>
      <c r="J5" s="24"/>
      <c r="K5" s="24"/>
      <c r="L5" s="24"/>
      <c r="M5" s="24"/>
      <c r="N5" s="24"/>
      <c r="O5" s="24"/>
      <c r="P5" s="24"/>
      <c r="Q5" s="24"/>
      <c r="R5" s="24"/>
      <c r="S5" s="24"/>
      <c r="T5" s="24"/>
      <c r="U5" s="24"/>
      <c r="V5" s="24"/>
      <c r="W5" s="24"/>
      <c r="X5" s="24"/>
      <c r="Y5" s="24"/>
      <c r="Z5" s="24"/>
    </row>
    <row r="6" ht="39.75" customHeight="1">
      <c r="A6" s="24"/>
      <c r="B6" s="27" t="s">
        <v>230</v>
      </c>
      <c r="C6" s="7"/>
      <c r="D6" s="7"/>
      <c r="E6" s="7"/>
      <c r="F6" s="7"/>
      <c r="G6" s="7"/>
      <c r="H6" s="7"/>
      <c r="I6" s="7"/>
      <c r="J6" s="7"/>
      <c r="K6" s="7"/>
      <c r="L6" s="7"/>
      <c r="M6" s="7"/>
      <c r="N6" s="7"/>
      <c r="O6" s="7"/>
      <c r="P6" s="8"/>
      <c r="Q6" s="24"/>
      <c r="R6" s="24"/>
      <c r="S6" s="24"/>
      <c r="T6" s="24"/>
      <c r="U6" s="24"/>
      <c r="V6" s="24"/>
      <c r="W6" s="24"/>
      <c r="X6" s="24"/>
      <c r="Y6" s="24"/>
      <c r="Z6" s="24"/>
    </row>
    <row r="7" ht="9.75" customHeight="1">
      <c r="A7" s="28"/>
      <c r="B7" s="28"/>
      <c r="C7" s="29"/>
      <c r="D7" s="29"/>
      <c r="E7" s="29"/>
      <c r="F7" s="29"/>
      <c r="G7" s="29"/>
      <c r="H7" s="29"/>
      <c r="I7" s="29"/>
      <c r="J7" s="29"/>
      <c r="K7" s="29"/>
      <c r="L7" s="29"/>
      <c r="M7" s="29"/>
      <c r="N7" s="29"/>
      <c r="O7" s="29"/>
      <c r="P7" s="28"/>
      <c r="Q7" s="28"/>
      <c r="R7" s="28"/>
      <c r="S7" s="28"/>
      <c r="T7" s="28"/>
      <c r="U7" s="28"/>
      <c r="V7" s="28"/>
      <c r="W7" s="28"/>
      <c r="X7" s="28"/>
      <c r="Y7" s="28"/>
      <c r="Z7" s="28"/>
    </row>
    <row r="8" ht="9.75" customHeight="1">
      <c r="A8" s="24"/>
      <c r="B8" s="30"/>
      <c r="C8" s="31"/>
      <c r="D8" s="31"/>
      <c r="E8" s="31"/>
      <c r="F8" s="32"/>
      <c r="G8" s="33"/>
      <c r="H8" s="33"/>
      <c r="I8" s="33"/>
      <c r="J8" s="33"/>
      <c r="K8" s="33"/>
      <c r="L8" s="33"/>
      <c r="M8" s="33"/>
      <c r="N8" s="33"/>
      <c r="O8" s="33"/>
      <c r="P8" s="34"/>
      <c r="Q8" s="28"/>
      <c r="R8" s="24"/>
      <c r="S8" s="24"/>
      <c r="T8" s="24"/>
      <c r="U8" s="24"/>
      <c r="V8" s="24"/>
      <c r="W8" s="24"/>
      <c r="X8" s="24"/>
      <c r="Y8" s="24"/>
      <c r="Z8" s="24"/>
    </row>
    <row r="9" ht="30.0" customHeight="1">
      <c r="A9" s="24"/>
      <c r="B9" s="35"/>
      <c r="C9" s="36" t="s">
        <v>2</v>
      </c>
      <c r="D9" s="37"/>
      <c r="E9" s="38" t="s">
        <v>231</v>
      </c>
      <c r="F9" s="8"/>
      <c r="G9" s="37"/>
      <c r="H9" s="38" t="s">
        <v>12</v>
      </c>
      <c r="I9" s="8"/>
      <c r="J9" s="39"/>
      <c r="K9" s="39"/>
      <c r="L9" s="39"/>
      <c r="M9" s="39"/>
      <c r="N9" s="39"/>
      <c r="O9" s="39"/>
      <c r="P9" s="40"/>
      <c r="Q9" s="28"/>
      <c r="R9" s="24"/>
      <c r="S9" s="24"/>
      <c r="T9" s="24"/>
      <c r="U9" s="24"/>
      <c r="V9" s="24"/>
      <c r="W9" s="24"/>
      <c r="X9" s="24"/>
      <c r="Y9" s="24"/>
      <c r="Z9" s="24"/>
    </row>
    <row r="10" ht="30.0" customHeight="1">
      <c r="A10" s="24"/>
      <c r="B10" s="35"/>
      <c r="C10" s="41" t="s">
        <v>16</v>
      </c>
      <c r="D10" s="42"/>
      <c r="E10" s="43" t="str">
        <f>VLOOKUP(C10,'Formato descripción HU'!B7:O32,5,0)</f>
        <v>Criador</v>
      </c>
      <c r="F10" s="8"/>
      <c r="G10" s="42"/>
      <c r="H10" s="43" t="str">
        <f>VLOOKUP(C10,'Formato descripción HU'!B7:O32,11,0)</f>
        <v>En proceso</v>
      </c>
      <c r="I10" s="8"/>
      <c r="J10" s="42"/>
      <c r="K10" s="39"/>
      <c r="L10" s="39"/>
      <c r="M10" s="39"/>
      <c r="N10" s="39"/>
      <c r="O10" s="39"/>
      <c r="P10" s="40"/>
      <c r="Q10" s="28"/>
      <c r="R10" s="24"/>
      <c r="S10" s="24"/>
      <c r="T10" s="24"/>
      <c r="U10" s="24"/>
      <c r="V10" s="24"/>
      <c r="W10" s="24"/>
      <c r="X10" s="24"/>
      <c r="Y10" s="24"/>
      <c r="Z10" s="24"/>
    </row>
    <row r="11" ht="9.75" customHeight="1">
      <c r="A11" s="28"/>
      <c r="B11" s="35"/>
      <c r="C11" s="44"/>
      <c r="D11" s="42"/>
      <c r="E11" s="45"/>
      <c r="F11" s="45"/>
      <c r="G11" s="42"/>
      <c r="H11" s="45"/>
      <c r="I11" s="45"/>
      <c r="J11" s="42"/>
      <c r="K11" s="45"/>
      <c r="L11" s="45"/>
      <c r="M11" s="39"/>
      <c r="N11" s="45"/>
      <c r="O11" s="45"/>
      <c r="P11" s="40"/>
      <c r="Q11" s="28"/>
      <c r="R11" s="28"/>
      <c r="S11" s="28"/>
      <c r="T11" s="28"/>
      <c r="U11" s="28"/>
      <c r="V11" s="28"/>
      <c r="W11" s="28"/>
      <c r="X11" s="28"/>
      <c r="Y11" s="28"/>
      <c r="Z11" s="28"/>
    </row>
    <row r="12" ht="30.0" customHeight="1">
      <c r="A12" s="28"/>
      <c r="B12" s="35"/>
      <c r="C12" s="36" t="s">
        <v>232</v>
      </c>
      <c r="D12" s="42"/>
      <c r="E12" s="38" t="s">
        <v>11</v>
      </c>
      <c r="F12" s="8"/>
      <c r="G12" s="42"/>
      <c r="H12" s="38" t="s">
        <v>233</v>
      </c>
      <c r="I12" s="8"/>
      <c r="J12" s="42"/>
      <c r="K12" s="45"/>
      <c r="L12" s="45"/>
      <c r="M12" s="39"/>
      <c r="N12" s="45"/>
      <c r="O12" s="45"/>
      <c r="P12" s="40"/>
      <c r="Q12" s="28"/>
      <c r="R12" s="28"/>
      <c r="S12" s="28"/>
      <c r="T12" s="28"/>
      <c r="U12" s="28"/>
      <c r="V12" s="28"/>
      <c r="W12" s="28"/>
      <c r="X12" s="28"/>
      <c r="Y12" s="28"/>
      <c r="Z12" s="28"/>
    </row>
    <row r="13" ht="30.0" customHeight="1">
      <c r="A13" s="28"/>
      <c r="B13" s="35"/>
      <c r="C13" s="46">
        <f>VLOOKUP('Historia de Usuario'!C10,'Formato descripción HU'!B7:O32,8,0)</f>
        <v>5</v>
      </c>
      <c r="D13" s="42"/>
      <c r="E13" s="43" t="str">
        <f>VLOOKUP(C10,'Formato descripción HU'!B7:O32,10,0)</f>
        <v>Alta</v>
      </c>
      <c r="F13" s="8"/>
      <c r="G13" s="42"/>
      <c r="H13" s="43" t="str">
        <f>VLOOKUP(C10,'Formato descripción HU'!B7:O32,7,0)</f>
        <v>Gabriel López</v>
      </c>
      <c r="I13" s="8"/>
      <c r="J13" s="42"/>
      <c r="K13" s="45"/>
      <c r="L13" s="45"/>
      <c r="M13" s="39"/>
      <c r="N13" s="45"/>
      <c r="O13" s="45"/>
      <c r="P13" s="40"/>
      <c r="Q13" s="28"/>
      <c r="R13" s="28"/>
      <c r="S13" s="28"/>
      <c r="T13" s="28"/>
      <c r="U13" s="28"/>
      <c r="V13" s="28"/>
      <c r="W13" s="28"/>
      <c r="X13" s="28"/>
      <c r="Y13" s="28"/>
      <c r="Z13" s="28"/>
    </row>
    <row r="14" ht="9.75" customHeight="1">
      <c r="A14" s="28"/>
      <c r="B14" s="35"/>
      <c r="C14" s="39"/>
      <c r="D14" s="42"/>
      <c r="E14" s="39"/>
      <c r="F14" s="39"/>
      <c r="G14" s="42"/>
      <c r="H14" s="42"/>
      <c r="I14" s="39"/>
      <c r="J14" s="39"/>
      <c r="K14" s="39"/>
      <c r="L14" s="39"/>
      <c r="M14" s="39"/>
      <c r="N14" s="39"/>
      <c r="O14" s="39"/>
      <c r="P14" s="40"/>
      <c r="Q14" s="28"/>
      <c r="R14" s="28"/>
      <c r="S14" s="28"/>
      <c r="T14" s="28"/>
      <c r="U14" s="28"/>
      <c r="V14" s="28"/>
      <c r="W14" s="28"/>
      <c r="X14" s="28"/>
      <c r="Y14" s="28"/>
      <c r="Z14" s="28"/>
    </row>
    <row r="15" ht="19.5" customHeight="1">
      <c r="A15" s="28"/>
      <c r="B15" s="35"/>
      <c r="C15" s="47" t="s">
        <v>234</v>
      </c>
      <c r="D15" s="48" t="str">
        <f>VLOOKUP(C10,'Formato descripción HU'!B7:O32,3,0)</f>
        <v>Un login para resguardar información</v>
      </c>
      <c r="E15" s="49"/>
      <c r="F15" s="50"/>
      <c r="G15" s="47" t="s">
        <v>235</v>
      </c>
      <c r="H15" s="48" t="str">
        <f>VLOOKUP(C10,'Formato descripción HU'!B7:O32,4,0)</f>
        <v>Proteger el acceso a la información del sistema</v>
      </c>
      <c r="I15" s="51"/>
      <c r="J15" s="49"/>
      <c r="K15" s="50"/>
      <c r="L15" s="47" t="s">
        <v>236</v>
      </c>
      <c r="M15" s="52" t="s">
        <v>237</v>
      </c>
      <c r="N15" s="51"/>
      <c r="O15" s="49"/>
      <c r="P15" s="40"/>
      <c r="Q15" s="28"/>
      <c r="R15" s="28"/>
      <c r="S15" s="28"/>
      <c r="T15" s="28"/>
      <c r="U15" s="28"/>
      <c r="V15" s="28"/>
      <c r="W15" s="28"/>
      <c r="X15" s="28"/>
      <c r="Y15" s="28"/>
      <c r="Z15" s="28"/>
    </row>
    <row r="16" ht="19.5" customHeight="1">
      <c r="A16" s="28"/>
      <c r="B16" s="35"/>
      <c r="C16" s="53"/>
      <c r="D16" s="54"/>
      <c r="E16" s="55"/>
      <c r="F16" s="50"/>
      <c r="G16" s="53"/>
      <c r="H16" s="54"/>
      <c r="J16" s="55"/>
      <c r="K16" s="50"/>
      <c r="L16" s="53"/>
      <c r="M16" s="54"/>
      <c r="O16" s="55"/>
      <c r="P16" s="40"/>
      <c r="Q16" s="28"/>
      <c r="R16" s="28"/>
      <c r="S16" s="28"/>
      <c r="T16" s="28"/>
      <c r="U16" s="28"/>
      <c r="V16" s="28"/>
      <c r="W16" s="28"/>
      <c r="X16" s="28"/>
      <c r="Y16" s="28"/>
      <c r="Z16" s="28"/>
    </row>
    <row r="17" ht="19.5" customHeight="1">
      <c r="A17" s="28"/>
      <c r="B17" s="35"/>
      <c r="C17" s="56"/>
      <c r="D17" s="57"/>
      <c r="E17" s="58"/>
      <c r="F17" s="50"/>
      <c r="G17" s="56"/>
      <c r="H17" s="57"/>
      <c r="I17" s="59"/>
      <c r="J17" s="58"/>
      <c r="K17" s="50"/>
      <c r="L17" s="56"/>
      <c r="M17" s="57"/>
      <c r="N17" s="59"/>
      <c r="O17" s="58"/>
      <c r="P17" s="40"/>
      <c r="Q17" s="28"/>
      <c r="R17" s="28"/>
      <c r="S17" s="28"/>
      <c r="T17" s="28"/>
      <c r="U17" s="28"/>
      <c r="V17" s="28"/>
      <c r="W17" s="28"/>
      <c r="X17" s="28"/>
      <c r="Y17" s="28"/>
      <c r="Z17" s="28"/>
    </row>
    <row r="18" ht="9.75" customHeight="1">
      <c r="A18" s="28"/>
      <c r="B18" s="35"/>
      <c r="C18" s="39"/>
      <c r="D18" s="39"/>
      <c r="E18" s="39"/>
      <c r="F18" s="39"/>
      <c r="G18" s="42"/>
      <c r="H18" s="42"/>
      <c r="I18" s="42"/>
      <c r="J18" s="39"/>
      <c r="K18" s="39"/>
      <c r="L18" s="39"/>
      <c r="M18" s="39"/>
      <c r="N18" s="39"/>
      <c r="O18" s="39"/>
      <c r="P18" s="40"/>
      <c r="Q18" s="28"/>
      <c r="R18" s="28"/>
      <c r="S18" s="28"/>
      <c r="T18" s="28"/>
      <c r="U18" s="28"/>
      <c r="V18" s="28"/>
      <c r="W18" s="28"/>
      <c r="X18" s="28"/>
      <c r="Y18" s="28"/>
      <c r="Z18" s="28"/>
    </row>
    <row r="19" ht="19.5" customHeight="1">
      <c r="A19" s="24"/>
      <c r="B19" s="35"/>
      <c r="C19" s="60" t="s">
        <v>238</v>
      </c>
      <c r="D19" s="49"/>
      <c r="E19" s="61" t="str">
        <f>VLOOKUP(C10,'Formato descripción HU'!B7:O32,14,0)</f>
        <v>Iniciar sesión en el sistema</v>
      </c>
      <c r="F19" s="62"/>
      <c r="G19" s="62"/>
      <c r="H19" s="62"/>
      <c r="I19" s="62"/>
      <c r="J19" s="62"/>
      <c r="K19" s="62"/>
      <c r="L19" s="62"/>
      <c r="M19" s="62"/>
      <c r="N19" s="62"/>
      <c r="O19" s="63"/>
      <c r="P19" s="40"/>
      <c r="Q19" s="28"/>
      <c r="R19" s="24"/>
      <c r="S19" s="24"/>
      <c r="T19" s="24"/>
      <c r="U19" s="24"/>
      <c r="V19" s="24"/>
      <c r="W19" s="24"/>
      <c r="X19" s="24"/>
      <c r="Y19" s="24"/>
      <c r="Z19" s="24"/>
    </row>
    <row r="20" ht="19.5" customHeight="1">
      <c r="A20" s="24"/>
      <c r="B20" s="35"/>
      <c r="C20" s="57"/>
      <c r="D20" s="58"/>
      <c r="E20" s="64"/>
      <c r="F20" s="65"/>
      <c r="G20" s="65"/>
      <c r="H20" s="65"/>
      <c r="I20" s="65"/>
      <c r="J20" s="65"/>
      <c r="K20" s="65"/>
      <c r="L20" s="65"/>
      <c r="M20" s="65"/>
      <c r="N20" s="65"/>
      <c r="O20" s="66"/>
      <c r="P20" s="40"/>
      <c r="Q20" s="28"/>
      <c r="R20" s="24"/>
      <c r="S20" s="24"/>
      <c r="T20" s="24"/>
      <c r="U20" s="24"/>
      <c r="V20" s="24"/>
      <c r="W20" s="24"/>
      <c r="X20" s="24"/>
      <c r="Y20" s="24"/>
      <c r="Z20" s="24"/>
    </row>
    <row r="21" ht="9.75" customHeight="1">
      <c r="A21" s="24"/>
      <c r="B21" s="35"/>
      <c r="C21" s="39"/>
      <c r="D21" s="39"/>
      <c r="E21" s="39"/>
      <c r="F21" s="39"/>
      <c r="G21" s="39"/>
      <c r="H21" s="39"/>
      <c r="I21" s="39"/>
      <c r="J21" s="39"/>
      <c r="K21" s="39"/>
      <c r="L21" s="39"/>
      <c r="M21" s="39"/>
      <c r="N21" s="39"/>
      <c r="O21" s="39"/>
      <c r="P21" s="40"/>
      <c r="Q21" s="28"/>
      <c r="R21" s="24"/>
      <c r="S21" s="24"/>
      <c r="T21" s="24"/>
      <c r="U21" s="24"/>
      <c r="V21" s="24"/>
      <c r="W21" s="24"/>
      <c r="X21" s="24"/>
      <c r="Y21" s="24"/>
      <c r="Z21" s="24"/>
    </row>
    <row r="22" ht="19.5" customHeight="1">
      <c r="A22" s="28"/>
      <c r="B22" s="35"/>
      <c r="C22" s="67" t="s">
        <v>239</v>
      </c>
      <c r="D22" s="49"/>
      <c r="E22" s="68" t="s">
        <v>240</v>
      </c>
      <c r="F22" s="51"/>
      <c r="G22" s="51"/>
      <c r="H22" s="49"/>
      <c r="I22" s="39"/>
      <c r="J22" s="67" t="s">
        <v>14</v>
      </c>
      <c r="K22" s="49"/>
      <c r="L22" s="69" t="s">
        <v>241</v>
      </c>
      <c r="M22" s="51"/>
      <c r="N22" s="51"/>
      <c r="O22" s="49"/>
      <c r="P22" s="40"/>
      <c r="Q22" s="28"/>
      <c r="R22" s="28"/>
      <c r="S22" s="28"/>
      <c r="T22" s="28"/>
      <c r="U22" s="28"/>
      <c r="V22" s="28"/>
      <c r="W22" s="28"/>
      <c r="X22" s="28"/>
      <c r="Y22" s="28"/>
      <c r="Z22" s="28"/>
    </row>
    <row r="23" ht="19.5" customHeight="1">
      <c r="A23" s="28"/>
      <c r="B23" s="35"/>
      <c r="C23" s="54"/>
      <c r="D23" s="55"/>
      <c r="E23" s="54"/>
      <c r="H23" s="55"/>
      <c r="I23" s="39"/>
      <c r="J23" s="54"/>
      <c r="K23" s="55"/>
      <c r="L23" s="54"/>
      <c r="O23" s="55"/>
      <c r="P23" s="40"/>
      <c r="Q23" s="28"/>
      <c r="R23" s="28"/>
      <c r="S23" s="28"/>
      <c r="T23" s="28"/>
      <c r="U23" s="28"/>
      <c r="V23" s="28"/>
      <c r="W23" s="28"/>
      <c r="X23" s="28"/>
      <c r="Y23" s="28"/>
      <c r="Z23" s="28"/>
    </row>
    <row r="24" ht="81.75" customHeight="1">
      <c r="A24" s="28"/>
      <c r="B24" s="35"/>
      <c r="C24" s="57"/>
      <c r="D24" s="58"/>
      <c r="E24" s="57"/>
      <c r="F24" s="59"/>
      <c r="G24" s="59"/>
      <c r="H24" s="58"/>
      <c r="I24" s="39"/>
      <c r="J24" s="57"/>
      <c r="K24" s="58"/>
      <c r="L24" s="57"/>
      <c r="M24" s="59"/>
      <c r="N24" s="59"/>
      <c r="O24" s="58"/>
      <c r="P24" s="40"/>
      <c r="Q24" s="28"/>
      <c r="R24" s="28"/>
      <c r="S24" s="28"/>
      <c r="T24" s="28"/>
      <c r="U24" s="28"/>
      <c r="V24" s="28"/>
      <c r="W24" s="28"/>
      <c r="X24" s="28"/>
      <c r="Y24" s="28"/>
      <c r="Z24" s="28"/>
    </row>
    <row r="25" ht="9.75" customHeight="1">
      <c r="A25" s="28"/>
      <c r="B25" s="70"/>
      <c r="C25" s="71"/>
      <c r="D25" s="71"/>
      <c r="E25" s="71"/>
      <c r="F25" s="71"/>
      <c r="G25" s="71"/>
      <c r="H25" s="71"/>
      <c r="I25" s="71"/>
      <c r="J25" s="71"/>
      <c r="K25" s="71"/>
      <c r="L25" s="71"/>
      <c r="M25" s="71"/>
      <c r="N25" s="71"/>
      <c r="O25" s="71"/>
      <c r="P25" s="72"/>
      <c r="Q25" s="28"/>
      <c r="R25" s="28"/>
      <c r="S25" s="28"/>
      <c r="T25" s="28"/>
      <c r="U25" s="28"/>
      <c r="V25" s="28"/>
      <c r="W25" s="28"/>
      <c r="X25" s="28"/>
      <c r="Y25" s="28"/>
      <c r="Z25" s="28"/>
    </row>
    <row r="26" ht="19.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9.5" customHeight="1">
      <c r="A27" s="28"/>
      <c r="B27" s="28"/>
      <c r="C27" s="28"/>
      <c r="D27" s="28"/>
      <c r="E27" s="28"/>
      <c r="F27" s="28"/>
      <c r="G27" s="28"/>
      <c r="H27" s="24"/>
      <c r="I27" s="24"/>
      <c r="J27" s="24"/>
      <c r="K27" s="24"/>
      <c r="L27" s="24"/>
      <c r="M27" s="24"/>
      <c r="N27" s="24"/>
      <c r="O27" s="24"/>
      <c r="P27" s="24"/>
      <c r="Q27" s="24"/>
      <c r="R27" s="28"/>
      <c r="S27" s="28"/>
      <c r="T27" s="28"/>
      <c r="U27" s="28"/>
      <c r="V27" s="28"/>
      <c r="W27" s="28"/>
      <c r="X27" s="28"/>
      <c r="Y27" s="28"/>
      <c r="Z27" s="28"/>
    </row>
    <row r="28" ht="19.5" customHeight="1">
      <c r="A28" s="28"/>
      <c r="B28" s="28"/>
      <c r="C28" s="28"/>
      <c r="D28" s="28"/>
      <c r="E28" s="28"/>
      <c r="F28" s="28"/>
      <c r="G28" s="28"/>
      <c r="H28" s="24"/>
      <c r="I28" s="24"/>
      <c r="J28" s="24"/>
      <c r="K28" s="24"/>
      <c r="L28" s="24"/>
      <c r="M28" s="24"/>
      <c r="N28" s="24"/>
      <c r="O28" s="24"/>
      <c r="P28" s="24"/>
      <c r="Q28" s="24"/>
      <c r="R28" s="28"/>
      <c r="S28" s="28"/>
      <c r="T28" s="24"/>
      <c r="U28" s="24"/>
      <c r="V28" s="24"/>
      <c r="W28" s="24"/>
      <c r="X28" s="24"/>
      <c r="Y28" s="24"/>
      <c r="Z28" s="28"/>
    </row>
    <row r="29" ht="19.5" customHeight="1">
      <c r="A29" s="28"/>
      <c r="B29" s="28"/>
      <c r="C29" s="28"/>
      <c r="D29" s="28"/>
      <c r="E29" s="28"/>
      <c r="F29" s="28"/>
      <c r="G29" s="28"/>
      <c r="H29" s="24"/>
      <c r="I29" s="24"/>
      <c r="J29" s="24"/>
      <c r="K29" s="24"/>
      <c r="L29" s="24"/>
      <c r="M29" s="24"/>
      <c r="N29" s="24"/>
      <c r="O29" s="24"/>
      <c r="P29" s="24"/>
      <c r="Q29" s="24"/>
      <c r="R29" s="28"/>
      <c r="S29" s="28"/>
      <c r="T29" s="24"/>
      <c r="U29" s="24"/>
      <c r="V29" s="24"/>
      <c r="W29" s="24"/>
      <c r="X29" s="24"/>
      <c r="Y29" s="24"/>
      <c r="Z29" s="28"/>
    </row>
    <row r="30" ht="19.5" customHeight="1">
      <c r="A30" s="28"/>
      <c r="B30" s="28"/>
      <c r="C30" s="24"/>
      <c r="D30" s="24"/>
      <c r="E30" s="24"/>
      <c r="F30" s="24"/>
      <c r="G30" s="24"/>
      <c r="H30" s="24"/>
      <c r="I30" s="24"/>
      <c r="J30" s="24"/>
      <c r="K30" s="24"/>
      <c r="L30" s="24"/>
      <c r="M30" s="24"/>
      <c r="N30" s="24"/>
      <c r="O30" s="24"/>
      <c r="P30" s="24"/>
      <c r="Q30" s="24"/>
      <c r="R30" s="28"/>
      <c r="S30" s="28"/>
      <c r="T30" s="24"/>
      <c r="U30" s="24"/>
      <c r="V30" s="24"/>
      <c r="W30" s="24"/>
      <c r="X30" s="24"/>
      <c r="Y30" s="24"/>
      <c r="Z30" s="28"/>
    </row>
    <row r="31" ht="19.5" customHeight="1">
      <c r="A31" s="28"/>
      <c r="B31" s="28"/>
      <c r="C31" s="24"/>
      <c r="D31" s="24"/>
      <c r="E31" s="24"/>
      <c r="F31" s="24"/>
      <c r="G31" s="24"/>
      <c r="H31" s="24"/>
      <c r="I31" s="24"/>
      <c r="J31" s="24"/>
      <c r="K31" s="24"/>
      <c r="L31" s="24"/>
      <c r="M31" s="24"/>
      <c r="N31" s="24"/>
      <c r="O31" s="24"/>
      <c r="P31" s="24"/>
      <c r="Q31" s="24"/>
      <c r="R31" s="28"/>
      <c r="S31" s="28"/>
      <c r="T31" s="24"/>
      <c r="U31" s="24"/>
      <c r="V31" s="24"/>
      <c r="W31" s="24"/>
      <c r="X31" s="24"/>
      <c r="Y31" s="24"/>
      <c r="Z31" s="28"/>
    </row>
    <row r="32" ht="19.5" customHeight="1">
      <c r="A32" s="28"/>
      <c r="B32" s="28"/>
      <c r="C32" s="24"/>
      <c r="D32" s="24"/>
      <c r="E32" s="24"/>
      <c r="F32" s="24"/>
      <c r="G32" s="24"/>
      <c r="H32" s="24"/>
      <c r="I32" s="24"/>
      <c r="J32" s="24"/>
      <c r="K32" s="24"/>
      <c r="L32" s="24"/>
      <c r="M32" s="24"/>
      <c r="N32" s="24"/>
      <c r="O32" s="24"/>
      <c r="P32" s="24"/>
      <c r="Q32" s="24"/>
      <c r="R32" s="28"/>
      <c r="S32" s="28"/>
      <c r="T32" s="24"/>
      <c r="U32" s="24"/>
      <c r="V32" s="24"/>
      <c r="W32" s="24"/>
      <c r="X32" s="24"/>
      <c r="Y32" s="24"/>
      <c r="Z32" s="28"/>
    </row>
    <row r="33" ht="19.5" customHeight="1">
      <c r="A33" s="28"/>
      <c r="B33" s="24"/>
      <c r="C33" s="24"/>
      <c r="D33" s="24"/>
      <c r="E33" s="24"/>
      <c r="F33" s="24"/>
      <c r="G33" s="24"/>
      <c r="H33" s="24"/>
      <c r="I33" s="24"/>
      <c r="J33" s="24"/>
      <c r="K33" s="24"/>
      <c r="L33" s="24"/>
      <c r="M33" s="24"/>
      <c r="N33" s="24"/>
      <c r="O33" s="24"/>
      <c r="P33" s="24"/>
      <c r="Q33" s="24"/>
      <c r="R33" s="28"/>
      <c r="S33" s="28"/>
      <c r="T33" s="24"/>
      <c r="U33" s="24"/>
      <c r="V33" s="24"/>
      <c r="W33" s="24"/>
      <c r="X33" s="24"/>
      <c r="Y33" s="24"/>
      <c r="Z33" s="28"/>
    </row>
    <row r="34" ht="19.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9.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9.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9.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9.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9.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9.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9.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9.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9.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9.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9.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9.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9.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9.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9.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9.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9.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9.5" customHeight="1">
      <c r="A52" s="24"/>
      <c r="B52" s="24"/>
      <c r="C52" s="24"/>
      <c r="D52" s="24"/>
      <c r="E52" s="24"/>
      <c r="F52" s="24"/>
      <c r="G52" s="24"/>
      <c r="H52" s="28"/>
      <c r="I52" s="28"/>
      <c r="J52" s="28"/>
      <c r="K52" s="28"/>
      <c r="L52" s="24"/>
      <c r="M52" s="24"/>
      <c r="N52" s="24"/>
      <c r="O52" s="24"/>
      <c r="P52" s="24"/>
      <c r="Q52" s="24"/>
      <c r="R52" s="24"/>
      <c r="S52" s="24"/>
      <c r="T52" s="24"/>
      <c r="U52" s="24"/>
      <c r="V52" s="24"/>
      <c r="W52" s="24"/>
      <c r="X52" s="24"/>
      <c r="Y52" s="24"/>
      <c r="Z52" s="24"/>
    </row>
    <row r="53" ht="19.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9.5" customHeight="1">
      <c r="A54" s="24"/>
      <c r="B54" s="24"/>
      <c r="C54" s="24"/>
      <c r="D54" s="24"/>
      <c r="E54" s="73" t="str">
        <f>VLOOKUP(I69,'Formato descripción HU'!C48:P65,3,0)</f>
        <v>#N/A</v>
      </c>
      <c r="F54" s="24"/>
      <c r="G54" s="24"/>
      <c r="H54" s="24"/>
      <c r="I54" s="73" t="str">
        <f>VLOOKUP(I69,'Formato descripción HU'!C48:P65,4,0)</f>
        <v>#N/A</v>
      </c>
      <c r="J54" s="24"/>
      <c r="K54" s="24"/>
      <c r="L54" s="24"/>
      <c r="M54" s="24"/>
      <c r="N54" s="73" t="str">
        <f>VLOOKUP(I69,'Formato descripción HU'!C48:P65,6,0)</f>
        <v>#N/A</v>
      </c>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73" t="str">
        <f>VLOOKUP(I69,'Formato descripción HU'!C48:P65,14,0)</f>
        <v>#N/A</v>
      </c>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t="str">
        <f>VLOOKUP(I69,'Formato descripción HU'!C48:P65,12,0)</f>
        <v>#N/A</v>
      </c>
      <c r="G61" s="24"/>
      <c r="H61" s="24"/>
      <c r="I61" s="24"/>
      <c r="J61" s="24"/>
      <c r="K61" s="24"/>
      <c r="L61" s="24"/>
      <c r="M61" s="73" t="str">
        <f>VLOOKUP(I69,'Formato descripción HU'!C48:P65,13,0)</f>
        <v>#N/A</v>
      </c>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8"/>
      <c r="M65" s="28"/>
      <c r="N65" s="28"/>
      <c r="O65" s="28"/>
      <c r="P65" s="28"/>
      <c r="Q65" s="24"/>
      <c r="R65" s="24"/>
      <c r="S65" s="24"/>
      <c r="T65" s="24"/>
      <c r="U65" s="24"/>
      <c r="V65" s="24"/>
      <c r="W65" s="28"/>
      <c r="X65" s="24"/>
      <c r="Y65" s="24"/>
      <c r="Z65" s="24"/>
    </row>
    <row r="66" ht="15.75" customHeight="1">
      <c r="A66" s="24"/>
      <c r="B66" s="24"/>
      <c r="C66" s="24"/>
      <c r="D66" s="24"/>
      <c r="E66" s="24"/>
      <c r="F66" s="24"/>
      <c r="G66" s="24"/>
      <c r="H66" s="24"/>
      <c r="I66" s="24"/>
      <c r="J66" s="24"/>
      <c r="K66" s="24"/>
      <c r="L66" s="28"/>
      <c r="M66" s="28"/>
      <c r="N66" s="28"/>
      <c r="O66" s="28"/>
      <c r="P66" s="28"/>
      <c r="Q66" s="24"/>
      <c r="R66" s="24"/>
      <c r="S66" s="24"/>
      <c r="T66" s="24"/>
      <c r="U66" s="24"/>
      <c r="V66" s="24"/>
      <c r="W66" s="28"/>
      <c r="X66" s="24"/>
      <c r="Y66" s="24"/>
      <c r="Z66" s="24"/>
    </row>
    <row r="67" ht="15.75" customHeight="1">
      <c r="A67" s="24"/>
      <c r="B67" s="24"/>
      <c r="C67" s="24"/>
      <c r="D67" s="24"/>
      <c r="E67" s="24"/>
      <c r="F67" s="74" t="s">
        <v>242</v>
      </c>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8"/>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73" t="str">
        <f>VLOOKUP(I69,'Formato descripción HU'!H68:U85,10,0)</f>
        <v>#N/A</v>
      </c>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HU'!$B$7:$B$32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